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jshi\Downloads\"/>
    </mc:Choice>
  </mc:AlternateContent>
  <xr:revisionPtr revIDLastSave="0" documentId="8_{E8ECCE50-26CC-4498-B590-B4F550ED03ED}" xr6:coauthVersionLast="45" xr6:coauthVersionMax="45" xr10:uidLastSave="{00000000-0000-0000-0000-000000000000}"/>
  <bookViews>
    <workbookView xWindow="-110" yWindow="-110" windowWidth="19420" windowHeight="10420" tabRatio="671" xr2:uid="{00000000-000D-0000-FFFF-FFFF00000000}"/>
  </bookViews>
  <sheets>
    <sheet name="Band A" sheetId="5" r:id="rId1"/>
    <sheet name="Band B" sheetId="6" r:id="rId2"/>
    <sheet name="Band C1" sheetId="7" r:id="rId3"/>
    <sheet name="SC Team lead" sheetId="8" state="hidden" r:id="rId4"/>
    <sheet name="Architect M level" sheetId="10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" i="7" l="1"/>
  <c r="E14" i="7" l="1"/>
  <c r="E8" i="7" l="1"/>
  <c r="E7" i="7"/>
  <c r="E7" i="6" l="1"/>
  <c r="E5" i="6"/>
  <c r="E6" i="6"/>
  <c r="E33" i="7" l="1"/>
  <c r="E32" i="7"/>
  <c r="E22" i="8"/>
  <c r="E21" i="8"/>
  <c r="E19" i="8"/>
  <c r="E18" i="8"/>
  <c r="E17" i="8"/>
  <c r="E27" i="8"/>
  <c r="E28" i="8"/>
  <c r="E26" i="8"/>
  <c r="E25" i="8"/>
  <c r="E24" i="8"/>
  <c r="E15" i="8"/>
  <c r="E14" i="8"/>
  <c r="E13" i="8"/>
  <c r="E12" i="8"/>
  <c r="E11" i="8"/>
  <c r="E10" i="8"/>
  <c r="E9" i="8"/>
  <c r="E7" i="8"/>
  <c r="E6" i="8"/>
  <c r="E5" i="8"/>
  <c r="E4" i="8"/>
  <c r="E3" i="8"/>
  <c r="E2" i="8"/>
  <c r="E33" i="8"/>
  <c r="E32" i="8"/>
  <c r="E31" i="8"/>
  <c r="E30" i="8"/>
  <c r="E36" i="8"/>
  <c r="E35" i="8"/>
  <c r="E30" i="7"/>
  <c r="E29" i="7"/>
  <c r="E27" i="7"/>
  <c r="E26" i="7"/>
  <c r="E25" i="7"/>
  <c r="E23" i="7"/>
  <c r="E22" i="7"/>
  <c r="E21" i="7"/>
  <c r="E20" i="7"/>
  <c r="E19" i="7"/>
  <c r="E17" i="7"/>
  <c r="E15" i="7"/>
  <c r="E12" i="7"/>
  <c r="E11" i="7"/>
  <c r="E10" i="7"/>
  <c r="E6" i="7"/>
  <c r="E5" i="7"/>
  <c r="E4" i="7"/>
  <c r="E3" i="7"/>
  <c r="E2" i="7"/>
  <c r="E21" i="6"/>
  <c r="E20" i="6"/>
  <c r="E19" i="6"/>
  <c r="E18" i="6"/>
  <c r="E17" i="6"/>
  <c r="E25" i="6"/>
  <c r="E24" i="6"/>
  <c r="E23" i="6"/>
  <c r="E27" i="6"/>
  <c r="E15" i="6"/>
  <c r="E14" i="6"/>
  <c r="E13" i="6"/>
  <c r="E12" i="6"/>
  <c r="E11" i="6"/>
  <c r="E10" i="6"/>
  <c r="E9" i="6"/>
  <c r="E4" i="6"/>
  <c r="E3" i="6"/>
  <c r="E2" i="6"/>
  <c r="E27" i="5"/>
  <c r="E26" i="5"/>
  <c r="E24" i="5"/>
  <c r="E23" i="5"/>
  <c r="E22" i="5"/>
  <c r="E20" i="5"/>
  <c r="E19" i="5"/>
  <c r="E18" i="5"/>
  <c r="E17" i="5"/>
  <c r="E16" i="5"/>
  <c r="E14" i="5"/>
  <c r="E13" i="5"/>
  <c r="E12" i="5"/>
  <c r="E11" i="5"/>
  <c r="E10" i="5"/>
  <c r="E9" i="5"/>
  <c r="E8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<sst xmlns="http://schemas.openxmlformats.org/spreadsheetml/2006/main" count="539" uniqueCount="257">
  <si>
    <t>Category</t>
  </si>
  <si>
    <t>Weightage</t>
  </si>
  <si>
    <t>Agregate Weightage</t>
  </si>
  <si>
    <t>Description</t>
  </si>
  <si>
    <t>Target</t>
  </si>
  <si>
    <t>Reporting Frequency</t>
  </si>
  <si>
    <t>Data Source</t>
  </si>
  <si>
    <t>Monthly</t>
  </si>
  <si>
    <t>Quarterly</t>
  </si>
  <si>
    <t>Target SLA Adherence (%)</t>
  </si>
  <si>
    <t>Tower Report</t>
  </si>
  <si>
    <t xml:space="preserve">DEX Report </t>
  </si>
  <si>
    <t xml:space="preserve">SLM Report / QA Report </t>
  </si>
  <si>
    <t>Compliance</t>
  </si>
  <si>
    <t xml:space="preserve">PMD Compliance </t>
  </si>
  <si>
    <t>Self Development</t>
  </si>
  <si>
    <t>40 Hrs</t>
  </si>
  <si>
    <t>Annual</t>
  </si>
  <si>
    <t>HR Report</t>
  </si>
  <si>
    <t>Utilization Report - Weekly</t>
  </si>
  <si>
    <t>&lt;= 2  Escalation</t>
  </si>
  <si>
    <t>&lt;=2</t>
  </si>
  <si>
    <t>Customer Satisfaction</t>
  </si>
  <si>
    <t>&lt;=1</t>
  </si>
  <si>
    <t>&lt;= 1  Appreciation</t>
  </si>
  <si>
    <t>% of Ticket resolved /Assigned</t>
  </si>
  <si>
    <t>% of Delivery on Time</t>
  </si>
  <si>
    <t>&lt;5%</t>
  </si>
  <si>
    <t>Timesheet Submission Week on Week</t>
  </si>
  <si>
    <t>% Escalations caused due to human error</t>
  </si>
  <si>
    <t xml:space="preserve">Quality </t>
  </si>
  <si>
    <t>Operation</t>
  </si>
  <si>
    <t xml:space="preserve">Complete mandatory hours of Trainings </t>
  </si>
  <si>
    <t>Complete Foundation Level Training (ITIL)</t>
  </si>
  <si>
    <t>KPI( Proposed)</t>
  </si>
  <si>
    <t>Daily health check analysis and reporting</t>
  </si>
  <si>
    <t>Cross skilling in Multiple technologies (Linux, Solaris etc)</t>
  </si>
  <si>
    <t>Inputs in DSTUM</t>
  </si>
  <si>
    <t xml:space="preserve">No Unplanned leaves </t>
  </si>
  <si>
    <t>Appreciations from front office /Customer</t>
  </si>
  <si>
    <t xml:space="preserve">40 Hours of process / technical training </t>
  </si>
  <si>
    <t xml:space="preserve">Contribution to Knowledge management </t>
  </si>
  <si>
    <t>Appreciations from Front office /Customer</t>
  </si>
  <si>
    <t>Daily health check analysis and key KPI inclusion based on the overall assessment of Infrastructure</t>
  </si>
  <si>
    <t xml:space="preserve">Incident/ Service request  handled per month </t>
  </si>
  <si>
    <t xml:space="preserve">Incident handled per month/Change Implementation and Adherence </t>
  </si>
  <si>
    <t>Controlling and effective communication on MIM calls</t>
  </si>
  <si>
    <t>Conducting knowledge Sharing Session ( 1 in a month)</t>
  </si>
  <si>
    <t>Self/Team Development</t>
  </si>
  <si>
    <t>Self /Team Development</t>
  </si>
  <si>
    <t>Implementation of lean methodology</t>
  </si>
  <si>
    <t xml:space="preserve">Ticket Breach avoidance </t>
  </si>
  <si>
    <t>Team contribution to SOP's</t>
  </si>
  <si>
    <t xml:space="preserve">Change Implementation Review and Change status reporting </t>
  </si>
  <si>
    <t>Critical communication deadline / Project timeline Adherence</t>
  </si>
  <si>
    <t xml:space="preserve">Appreciations </t>
  </si>
  <si>
    <t>Target Daily reporting Adherence (%)</t>
  </si>
  <si>
    <t>% of Participation in DSTUMS and MOM Creation</t>
  </si>
  <si>
    <t>Communication gaps within or across the teams</t>
  </si>
  <si>
    <t>Adherence to Quality Process (%)</t>
  </si>
  <si>
    <t>% of Flexibility shown</t>
  </si>
  <si>
    <t>&gt;=75%</t>
  </si>
  <si>
    <t>Queue  monitoring and Breach Avoidance (%)</t>
  </si>
  <si>
    <t xml:space="preserve">Proactive Queue  monitoring </t>
  </si>
  <si>
    <t>% Participation in Technical knowledge sharing sessions</t>
  </si>
  <si>
    <t>Cross skilled knowledge acquired (%)</t>
  </si>
  <si>
    <t>Unplanned leaves percentage</t>
  </si>
  <si>
    <t>% of L3 tasks handled as per functional stack</t>
  </si>
  <si>
    <t>%Adherence to Quality Documentation</t>
  </si>
  <si>
    <t>&gt;=4</t>
  </si>
  <si>
    <t>SLA adherence (resolution and Assignment )</t>
  </si>
  <si>
    <t>Operational Governance</t>
  </si>
  <si>
    <t>&gt;=2</t>
  </si>
  <si>
    <t>Ticket Breach Reporting</t>
  </si>
  <si>
    <t>Breach reports with detailed explanations (%)</t>
  </si>
  <si>
    <t>Mentoring fresher and conducting technical training</t>
  </si>
  <si>
    <t>Knowledge sharing</t>
  </si>
  <si>
    <t>No Of KM articles/SOPs created</t>
  </si>
  <si>
    <t>&gt;=3</t>
  </si>
  <si>
    <t>&gt;= 1  Appreciation</t>
  </si>
  <si>
    <t>&gt;=1</t>
  </si>
  <si>
    <t>No Of Health check/monitoring scripts Scripts</t>
  </si>
  <si>
    <t>DSTUM</t>
  </si>
  <si>
    <t>Proactive queue monitoring and reporting on time (%)</t>
  </si>
  <si>
    <t xml:space="preserve">Team Management / Job Rotations </t>
  </si>
  <si>
    <t>Lean Implementation</t>
  </si>
  <si>
    <t>Communication with SDM's</t>
  </si>
  <si>
    <t>Risk and Issue review and Highlight with SDM's</t>
  </si>
  <si>
    <t>&gt;=10</t>
  </si>
  <si>
    <t>No of SOPs created by team</t>
  </si>
  <si>
    <t>Process Adherence and Improvement</t>
  </si>
  <si>
    <t>Conducting training for C/AC resources</t>
  </si>
  <si>
    <t>No Of KM articles/SOPs created/updated</t>
  </si>
  <si>
    <t>Knowledge sharing within the team/tower</t>
  </si>
  <si>
    <t xml:space="preserve">Conduct trainings for AC, C resources </t>
  </si>
  <si>
    <t xml:space="preserve">Trainings for AC, C resources </t>
  </si>
  <si>
    <t>Ensure Participation in Surveys</t>
  </si>
  <si>
    <t>Adherence to Project Timelines</t>
  </si>
  <si>
    <t>Line Weightage</t>
  </si>
  <si>
    <t>Quality</t>
  </si>
  <si>
    <t>Technical Knowledge sharing</t>
  </si>
  <si>
    <t>Delivery Excellence</t>
  </si>
  <si>
    <t xml:space="preserve">Participate in Internal/External Audit </t>
  </si>
  <si>
    <t xml:space="preserve">Non Compliance </t>
  </si>
  <si>
    <t>&lt; 2 NC</t>
  </si>
  <si>
    <t>DEX Report</t>
  </si>
  <si>
    <t>Overall Incident Reduction</t>
  </si>
  <si>
    <t xml:space="preserve">Over All Incident Reduction ( Auto Logged  / User ) (%) </t>
  </si>
  <si>
    <t xml:space="preserve">Yearly </t>
  </si>
  <si>
    <t>Delivery Efficiency</t>
  </si>
  <si>
    <t>Technical Improvement Plan - TIP's</t>
  </si>
  <si>
    <t>Technical Improvement Plan - TIP's ( Min - 2 )</t>
  </si>
  <si>
    <t>Min 2</t>
  </si>
  <si>
    <t>Half Yearly</t>
  </si>
  <si>
    <t>Project Work / SIPs / Problem Management</t>
  </si>
  <si>
    <t>Drive Projects / SIPs / Problems to closure</t>
  </si>
  <si>
    <t>Min 4</t>
  </si>
  <si>
    <t>Adhere to zero SLA breaches</t>
  </si>
  <si>
    <t xml:space="preserve">PMD compliance </t>
  </si>
  <si>
    <t xml:space="preserve">Escalation for self /team </t>
  </si>
  <si>
    <t>Aggregate Weightage</t>
  </si>
  <si>
    <t xml:space="preserve">Understanding of organization quality processes </t>
  </si>
  <si>
    <t xml:space="preserve">Flexibility and Adaptability  as per project needs </t>
  </si>
  <si>
    <t>Timesheet/ Clarity Compliance</t>
  </si>
  <si>
    <t xml:space="preserve">WI documentation and run book creation </t>
  </si>
  <si>
    <t xml:space="preserve">No Of WI documented and run book creation </t>
  </si>
  <si>
    <t xml:space="preserve">Documenting Updating team governance, Risk registers, project hours, SIP register </t>
  </si>
  <si>
    <t>Zero technical lapses and Compliance to four eye</t>
  </si>
  <si>
    <t>Application of Tower/Industry  specific best practices to move towards standardization</t>
  </si>
  <si>
    <t>Involvement in tower driven standardization (%)</t>
  </si>
  <si>
    <t>Inputs in DSTUM and  100% participation</t>
  </si>
  <si>
    <t>Creation of detailed change implementation plan and adherence to downtime availability (%)</t>
  </si>
  <si>
    <t>Effort to minimize breaches ( Breach reduction)</t>
  </si>
  <si>
    <t>Architecture GAP analysis and resolution</t>
  </si>
  <si>
    <t xml:space="preserve">Compliance to OAT / Highlighting of Risks/ Compliance to KT schedules during New Client Transitioning </t>
  </si>
  <si>
    <t>Ensure Zero Human error , Communication lapses and Compliance to four eye</t>
  </si>
  <si>
    <t>Periodic audits on various Processes ({IPC) and continuous improvement in service delivery</t>
  </si>
  <si>
    <t xml:space="preserve">At least 1 YB projects every six month </t>
  </si>
  <si>
    <t xml:space="preserve">Ensure Continuous Technical discussion in the team focusing on end to end architecture </t>
  </si>
  <si>
    <t>Ensure Contribution to knowledge management  (KM portal )</t>
  </si>
  <si>
    <t>No of KM articles created by team</t>
  </si>
  <si>
    <t xml:space="preserve">Ensure Timesheet/ Clarity Compliance </t>
  </si>
  <si>
    <t>Ensure On time completion of Organizational surveys</t>
  </si>
  <si>
    <t>Ensure PMD Compliance</t>
  </si>
  <si>
    <t xml:space="preserve">AC + C induction as per laid norms / Job Rotations </t>
  </si>
  <si>
    <t>Web Based ITIL training and Assessment</t>
  </si>
  <si>
    <t>At least 1 YB projects once a Year</t>
  </si>
  <si>
    <t xml:space="preserve">Effective MIM Communication / </t>
  </si>
  <si>
    <t>Adhearence to  Change Management as per CAB</t>
  </si>
  <si>
    <t>Organization Initiatives</t>
  </si>
  <si>
    <t>Weekend Drive interviews</t>
  </si>
  <si>
    <t xml:space="preserve">&gt;= 1  </t>
  </si>
  <si>
    <t>&gt;= 1</t>
  </si>
  <si>
    <t>Weekly DEX report review and provide details</t>
  </si>
  <si>
    <t>Provide details of P1 / RCAs to Tower Management on timely basis</t>
  </si>
  <si>
    <t>Tracking outcome of RCAs to closure</t>
  </si>
  <si>
    <t>UC reduction / Pyramid optimization</t>
  </si>
  <si>
    <t>Drive RBA? Number of tasks / year??</t>
  </si>
  <si>
    <t>Review tasks done are as per Functional Stack?</t>
  </si>
  <si>
    <t>Min 1</t>
  </si>
  <si>
    <t>A3 (Lean) Project for Geo/Tower - Min 2 per Tower</t>
  </si>
  <si>
    <t>A3 (Lean)/ Six Sigma Project for Tower</t>
  </si>
  <si>
    <t>Otace Score, Feedback from Stakeholders</t>
  </si>
  <si>
    <t>Appreciation from the Client/FO 
CSAT</t>
  </si>
  <si>
    <t>Customer Feedback</t>
  </si>
  <si>
    <t>Customer  Excellence</t>
  </si>
  <si>
    <t>Feedback from team members</t>
  </si>
  <si>
    <r>
      <rPr>
        <b/>
        <sz val="10"/>
        <rFont val="Arial"/>
        <family val="2"/>
      </rPr>
      <t>Information sharing</t>
    </r>
    <r>
      <rPr>
        <sz val="11"/>
        <color theme="1"/>
        <rFont val="Calibri"/>
        <family val="2"/>
        <scheme val="minor"/>
      </rPr>
      <t xml:space="preserve">
Share relevant data information with the team members &amp; Stakeholders </t>
    </r>
  </si>
  <si>
    <t>No of sessions conducted, Input from KM</t>
  </si>
  <si>
    <r>
      <rPr>
        <b/>
        <sz val="10"/>
        <rFont val="Arial"/>
        <family val="2"/>
      </rPr>
      <t>Contribution to KM</t>
    </r>
    <r>
      <rPr>
        <sz val="11"/>
        <color theme="1"/>
        <rFont val="Calibri"/>
        <family val="2"/>
        <scheme val="minor"/>
      </rPr>
      <t xml:space="preserve">
Contribute to GKIB by driving SELF /Team to upload Knowledge articles 
Contribute to the knowledge repository (KM Portal)</t>
    </r>
  </si>
  <si>
    <t xml:space="preserve">SME Community Contributions </t>
  </si>
  <si>
    <t xml:space="preserve">
Learning hours for self &amp; team should be "40 " hours as per the organization / BU/ Service Line / Geography / Technology  mandate through classroom /e-learning module / external forums</t>
  </si>
  <si>
    <t xml:space="preserve">Technical competency building through training = 1 per quarter </t>
  </si>
  <si>
    <t>Training &amp; Certification</t>
  </si>
  <si>
    <t xml:space="preserve">Training Hours
Certifications </t>
  </si>
  <si>
    <t xml:space="preserve">Learning &amp; Growth </t>
  </si>
  <si>
    <t xml:space="preserve">Lead Tower /Project Initiatives </t>
  </si>
  <si>
    <t>Industrialize at least "2" Processes</t>
  </si>
  <si>
    <t>Industrialization</t>
  </si>
  <si>
    <t>Implementation of tools, enablers, accelerators on project as applicable</t>
  </si>
  <si>
    <t xml:space="preserve">Implement at least "2"no of  Best Practices in a defined time frame leading to cost / time saving </t>
  </si>
  <si>
    <t xml:space="preserve">Suggest/implement innovative ways to reduce project cost and delivery time </t>
  </si>
  <si>
    <t>Productivity Improvement</t>
  </si>
  <si>
    <t>KPA-Operational Excellence</t>
  </si>
  <si>
    <t>MTS, PMD compliance , GES Score</t>
  </si>
  <si>
    <r>
      <rPr>
        <b/>
        <sz val="10"/>
        <rFont val="Arial"/>
        <family val="2"/>
      </rPr>
      <t>Compliance to Organizational Polices &amp; Processes</t>
    </r>
    <r>
      <rPr>
        <sz val="11"/>
        <color theme="1"/>
        <rFont val="Calibri"/>
        <family val="2"/>
        <scheme val="minor"/>
      </rPr>
      <t xml:space="preserve">
Timesheet Compliance for self &amp; team =100% 
Performance Management Documents Completion  for self &amp; team as per defined timelines 
Leave Planning to be done 30 days prior  for self &amp; team
Adhere to other policies / processes as applicable
Direct support of People agenda of the SBU including high project score in GES survey</t>
    </r>
  </si>
  <si>
    <t>Quality / Tool reports</t>
  </si>
  <si>
    <r>
      <rPr>
        <b/>
        <sz val="10"/>
        <rFont val="Arial"/>
        <family val="2"/>
      </rPr>
      <t>Reporting &amp; Documentation</t>
    </r>
    <r>
      <rPr>
        <sz val="11"/>
        <color theme="1"/>
        <rFont val="Calibri"/>
        <family val="2"/>
        <scheme val="minor"/>
      </rPr>
      <t xml:space="preserve">
Maintain &amp; update document changes in the relevant tools within the specified time frame 
Timely preparation of weekly/monthly reports and dashboards 
Timely Adherence to reviewing &amp; publish Quality/Project Reports 100% on time</t>
    </r>
  </si>
  <si>
    <t xml:space="preserve">Audit Report </t>
  </si>
  <si>
    <r>
      <rPr>
        <b/>
        <sz val="10"/>
        <rFont val="Arial"/>
        <family val="2"/>
      </rPr>
      <t>Audits</t>
    </r>
    <r>
      <rPr>
        <sz val="11"/>
        <color theme="1"/>
        <rFont val="Calibri"/>
        <family val="2"/>
        <scheme val="minor"/>
      </rPr>
      <t xml:space="preserve">
Participate in Internal /External Audits
Audit findings should not have Non-Compliance &gt; 2 nos
Adherence to reviewing &amp; publishing Quality Reports should be  &gt;90%</t>
    </r>
  </si>
  <si>
    <t>Build strong network with stakeholders(Operations and Delivery) to ensure on time delivery
Engage in partnership alliance meetings 
Delivering Knowledge Sharing Sessions -1 per Quarter</t>
  </si>
  <si>
    <t>Collaboration</t>
  </si>
  <si>
    <t>Perdormance Score card</t>
  </si>
  <si>
    <r>
      <t xml:space="preserve">Tmely Deliverables of Assigned Projects/ Activities 
Risk Management - Identification &amp; Mitigation
Technical Improvement Plan - TIP's
Ensure Change Execution with zero Technical Lapses 
</t>
    </r>
    <r>
      <rPr>
        <b/>
        <sz val="10"/>
        <rFont val="Arial"/>
        <family val="2"/>
      </rPr>
      <t>Delivery Support</t>
    </r>
    <r>
      <rPr>
        <sz val="11"/>
        <color theme="1"/>
        <rFont val="Calibri"/>
        <family val="2"/>
        <scheme val="minor"/>
      </rPr>
      <t xml:space="preserve">
Provide support to Delivery teams in "X" RFP's , Operations and Client presentations within the specified SLA
</t>
    </r>
    <r>
      <rPr>
        <b/>
        <sz val="10"/>
        <rFont val="Arial"/>
        <family val="2"/>
      </rPr>
      <t/>
    </r>
  </si>
  <si>
    <t xml:space="preserve">Operation  Support </t>
  </si>
  <si>
    <t>KPA-Delivery &amp; Process Excellence</t>
  </si>
  <si>
    <t>Source</t>
  </si>
  <si>
    <t xml:space="preserve"> Weightage</t>
  </si>
  <si>
    <t>Goal Description &amp; Measurement</t>
  </si>
  <si>
    <t xml:space="preserve">KPI </t>
  </si>
  <si>
    <t>Complete mandatory trainings for Ethics / Compliances</t>
  </si>
  <si>
    <t>Attend 15 hours of process related trainings</t>
  </si>
  <si>
    <t>Changes/Incident/Service request handled per month</t>
  </si>
  <si>
    <t>Zero human error</t>
  </si>
  <si>
    <t>No of SIP's proposed</t>
  </si>
  <si>
    <t>Zero lapses for changes and P1 updation</t>
  </si>
  <si>
    <t>Tower Geo Lead</t>
  </si>
  <si>
    <t>Automation leading to effort reduction (RBA)</t>
  </si>
  <si>
    <t>Overall effort reduction</t>
  </si>
  <si>
    <t>Planning Changes and end to end implementation/ Participation in CAB / planning 4-eye during implementation</t>
  </si>
  <si>
    <t>Updating change and P1 tracker with RCA</t>
  </si>
  <si>
    <t>Zero Lapses</t>
  </si>
  <si>
    <t>Zero MTS</t>
  </si>
  <si>
    <t>Creating / Reviewing SOPs</t>
  </si>
  <si>
    <t>Half-Yearly review of SOPs</t>
  </si>
  <si>
    <t>Half-Yearly</t>
  </si>
  <si>
    <t>Service Improvements and contribution to ESG initiatives</t>
  </si>
  <si>
    <t>Timesheet Submission Week on Week / Zero MTS</t>
  </si>
  <si>
    <t>Automation  (RBA)</t>
  </si>
  <si>
    <t>Level 4 troubleshooting / MI / Driving RCAS</t>
  </si>
  <si>
    <t xml:space="preserve"># of MI participated and resoved with effective RCA </t>
  </si>
  <si>
    <t xml:space="preserve">no of Architectural Gap issues proactively identified and closed(TIP)  - Target 5 issues per year </t>
  </si>
  <si>
    <t>% of Ticket resolved /Assigned without errors</t>
  </si>
  <si>
    <t xml:space="preserve"> Ticket updates and  e-mail communication </t>
  </si>
  <si>
    <t>Mandatory complaince Trainings</t>
  </si>
  <si>
    <t xml:space="preserve">Service Improvements suggestions </t>
  </si>
  <si>
    <t>Effective MIM Communication / RCA Quality and Timeliness</t>
  </si>
  <si>
    <t>Controlling and effective communication on MIM calls
Quality RCA prepared within Serviceline/ Account SLA</t>
  </si>
  <si>
    <t>Cross skilling in Multiple technologies (Linux, AIX,Solaris etc)</t>
  </si>
  <si>
    <t xml:space="preserve">Technical knowledge Sessions </t>
  </si>
  <si>
    <t>Process / Buiness trainings</t>
  </si>
  <si>
    <t xml:space="preserve">Zero technical and process lapses </t>
  </si>
  <si>
    <t>Readiness to handle L2, L3 tasks</t>
  </si>
  <si>
    <t>Participation in DSTUMS  and MOM CreationUnderstanding IPC and correlation with  Ticketing system</t>
  </si>
  <si>
    <t>Automation flow adoption in day to day  and weekend tasks there by increasing utilization</t>
  </si>
  <si>
    <t>% of Participation in DSTUMS and MOM CreationRelating IPC in daily work (%)</t>
  </si>
  <si>
    <t>Technical training attended (Technical, Emerging and Interpersonal)</t>
  </si>
  <si>
    <t xml:space="preserve">Indentification of tasks for automation and flows utilization on day to day and weekly maintainence </t>
  </si>
  <si>
    <t>Quarterly / Monthly</t>
  </si>
  <si>
    <t>Update tower Change tracker /P1 tracker / 4 eye process</t>
  </si>
  <si>
    <t>Cross skilling in Multiple technologies (Linux, AIX, Solaris etc)</t>
  </si>
  <si>
    <t xml:space="preserve"> One Interpersonal, Emerging and Technology  to be completed </t>
  </si>
  <si>
    <t xml:space="preserve">Internal Technical sessions , Initatives and Culture activities </t>
  </si>
  <si>
    <t xml:space="preserve">Utilization of  Health check Scripts/ Scripts to monitor entire architecture </t>
  </si>
  <si>
    <t>% of automation flows execution/utilization</t>
  </si>
  <si>
    <t>Attend trainings as mapped</t>
  </si>
  <si>
    <t>SLA adherence (Response and  Resolution )</t>
  </si>
  <si>
    <t>No. of tasks identified and flows execution/utilization</t>
  </si>
  <si>
    <t>Zero technical lapses and Compliance to four eye and OMI audits</t>
  </si>
  <si>
    <t>% Adherence to Compliance to 4 eye and internal audit readiness</t>
  </si>
  <si>
    <t>Mentoring Training A/B resources</t>
  </si>
  <si>
    <t>Documenting Updating team governance, Risk registers, Project hours, SIP register , PQL, PPM</t>
  </si>
  <si>
    <t>% Documentation done to Update team governance, Risk registers, project hours, SIP register , PPM</t>
  </si>
  <si>
    <t>Trainings to be completed</t>
  </si>
  <si>
    <t>No of SIP's proposed/Implemented, Trainings, MIM ,P1 handling and 1 business  case study  submission by each SME</t>
  </si>
  <si>
    <t xml:space="preserve"> Effective utilization of automations scripts to avoid human errors .One  automation tasks to submmit and  implement by SME</t>
  </si>
  <si>
    <t xml:space="preserve">Automation  execution / utilization / identification of tasks to automate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</si>
</sst>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64"/>
      </right>
      <top/>
      <bottom/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/>
      <bottom style="medium">
        <color indexed="64"/>
      </bottom>
      <diagonal/>
    </border>
    <border>
      <left style="thin">
        <color theme="0" tint="-0.249977111117893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theme="0" tint="-0.249977111117893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23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2" fillId="0" borderId="1" xfId="0" applyFont="1" applyFill="1" applyBorder="1" applyAlignment="1">
      <alignment horizontal="left" vertical="center" wrapText="1"/>
    </xf>
    <xf numFmtId="164" fontId="2" fillId="0" borderId="1" xfId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9" fontId="2" fillId="0" borderId="6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64" fontId="2" fillId="0" borderId="7" xfId="1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164" fontId="2" fillId="0" borderId="8" xfId="1" applyNumberFormat="1" applyFont="1" applyFill="1" applyBorder="1" applyAlignment="1">
      <alignment horizontal="center" vertical="center"/>
    </xf>
    <xf numFmtId="0" fontId="3" fillId="0" borderId="5" xfId="0" applyFont="1" applyBorder="1"/>
    <xf numFmtId="164" fontId="2" fillId="0" borderId="9" xfId="1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9" fontId="2" fillId="0" borderId="3" xfId="1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9" fontId="2" fillId="0" borderId="1" xfId="0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left" vertical="center"/>
    </xf>
    <xf numFmtId="164" fontId="2" fillId="0" borderId="8" xfId="1" applyNumberFormat="1" applyFont="1" applyFill="1" applyBorder="1" applyAlignment="1">
      <alignment horizontal="left" vertical="center"/>
    </xf>
    <xf numFmtId="9" fontId="2" fillId="0" borderId="1" xfId="0" applyNumberFormat="1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vertical="center"/>
    </xf>
    <xf numFmtId="9" fontId="2" fillId="0" borderId="7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3" xfId="0" applyFont="1" applyFill="1" applyBorder="1" applyAlignment="1">
      <alignment horizontal="left" vertical="center" wrapText="1"/>
    </xf>
    <xf numFmtId="164" fontId="2" fillId="0" borderId="14" xfId="1" applyNumberFormat="1" applyFont="1" applyFill="1" applyBorder="1" applyAlignment="1">
      <alignment horizontal="center" vertical="center"/>
    </xf>
    <xf numFmtId="164" fontId="2" fillId="0" borderId="13" xfId="1" applyNumberFormat="1" applyFont="1" applyFill="1" applyBorder="1" applyAlignment="1">
      <alignment horizontal="left" vertical="center"/>
    </xf>
    <xf numFmtId="9" fontId="2" fillId="0" borderId="13" xfId="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left" vertical="center" wrapText="1"/>
    </xf>
    <xf numFmtId="164" fontId="2" fillId="0" borderId="21" xfId="1" applyNumberFormat="1" applyFont="1" applyFill="1" applyBorder="1" applyAlignment="1">
      <alignment horizontal="center" vertical="center"/>
    </xf>
    <xf numFmtId="164" fontId="2" fillId="0" borderId="20" xfId="1" applyNumberFormat="1" applyFont="1" applyFill="1" applyBorder="1" applyAlignment="1">
      <alignment horizontal="left" vertical="center"/>
    </xf>
    <xf numFmtId="9" fontId="2" fillId="0" borderId="20" xfId="0" applyNumberFormat="1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164" fontId="2" fillId="0" borderId="23" xfId="1" applyNumberFormat="1" applyFont="1" applyFill="1" applyBorder="1" applyAlignment="1">
      <alignment horizontal="center" vertical="center"/>
    </xf>
    <xf numFmtId="164" fontId="2" fillId="0" borderId="3" xfId="1" applyNumberFormat="1" applyFont="1" applyFill="1" applyBorder="1" applyAlignment="1">
      <alignment horizontal="left" vertical="center"/>
    </xf>
    <xf numFmtId="9" fontId="2" fillId="0" borderId="3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164" fontId="2" fillId="0" borderId="3" xfId="1" applyNumberFormat="1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 wrapText="1"/>
    </xf>
    <xf numFmtId="164" fontId="2" fillId="0" borderId="13" xfId="1" applyNumberFormat="1" applyFont="1" applyFill="1" applyBorder="1" applyAlignment="1">
      <alignment horizontal="center" vertical="center"/>
    </xf>
    <xf numFmtId="164" fontId="2" fillId="0" borderId="20" xfId="1" applyNumberFormat="1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2" fillId="3" borderId="33" xfId="0" applyFont="1" applyFill="1" applyBorder="1" applyAlignment="1">
      <alignment horizontal="left" vertical="center" wrapText="1"/>
    </xf>
    <xf numFmtId="9" fontId="2" fillId="3" borderId="33" xfId="1" applyFont="1" applyFill="1" applyBorder="1" applyAlignment="1">
      <alignment horizontal="center" vertical="center"/>
    </xf>
    <xf numFmtId="164" fontId="2" fillId="3" borderId="33" xfId="1" applyNumberFormat="1" applyFont="1" applyFill="1" applyBorder="1" applyAlignment="1">
      <alignment horizontal="center" vertical="center"/>
    </xf>
    <xf numFmtId="9" fontId="2" fillId="3" borderId="33" xfId="0" applyNumberFormat="1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9" fontId="2" fillId="3" borderId="5" xfId="1" applyFont="1" applyFill="1" applyBorder="1" applyAlignment="1">
      <alignment horizontal="center" vertical="center"/>
    </xf>
    <xf numFmtId="164" fontId="2" fillId="3" borderId="5" xfId="1" applyNumberFormat="1" applyFont="1" applyFill="1" applyBorder="1" applyAlignment="1">
      <alignment horizontal="center" vertical="center"/>
    </xf>
    <xf numFmtId="9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left" vertical="center" wrapText="1"/>
    </xf>
    <xf numFmtId="9" fontId="2" fillId="3" borderId="38" xfId="1" applyFont="1" applyFill="1" applyBorder="1" applyAlignment="1">
      <alignment horizontal="center" vertical="center"/>
    </xf>
    <xf numFmtId="164" fontId="2" fillId="3" borderId="38" xfId="1" applyNumberFormat="1" applyFont="1" applyFill="1" applyBorder="1" applyAlignment="1">
      <alignment horizontal="center" vertical="center"/>
    </xf>
    <xf numFmtId="9" fontId="2" fillId="3" borderId="38" xfId="0" applyNumberFormat="1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left"/>
    </xf>
    <xf numFmtId="0" fontId="3" fillId="3" borderId="38" xfId="0" applyFont="1" applyFill="1" applyBorder="1" applyAlignment="1">
      <alignment horizontal="left"/>
    </xf>
    <xf numFmtId="0" fontId="2" fillId="0" borderId="44" xfId="0" applyFont="1" applyFill="1" applyBorder="1" applyAlignment="1">
      <alignment horizontal="center" vertical="center"/>
    </xf>
    <xf numFmtId="9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left" vertical="center"/>
    </xf>
    <xf numFmtId="9" fontId="2" fillId="0" borderId="0" xfId="0" applyNumberFormat="1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left" vertical="center" readingOrder="1"/>
    </xf>
    <xf numFmtId="164" fontId="2" fillId="0" borderId="14" xfId="1" applyNumberFormat="1" applyFont="1" applyFill="1" applyBorder="1" applyAlignment="1">
      <alignment horizontal="left" vertical="center"/>
    </xf>
    <xf numFmtId="164" fontId="2" fillId="0" borderId="46" xfId="1" applyNumberFormat="1" applyFont="1" applyFill="1" applyBorder="1" applyAlignment="1">
      <alignment horizontal="left" vertical="center"/>
    </xf>
    <xf numFmtId="9" fontId="2" fillId="0" borderId="13" xfId="0" applyNumberFormat="1" applyFont="1" applyFill="1" applyBorder="1" applyAlignment="1">
      <alignment horizontal="left" vertical="center" wrapText="1"/>
    </xf>
    <xf numFmtId="9" fontId="2" fillId="0" borderId="20" xfId="0" applyNumberFormat="1" applyFont="1" applyFill="1" applyBorder="1" applyAlignment="1">
      <alignment horizontal="left" vertical="center" wrapText="1"/>
    </xf>
    <xf numFmtId="9" fontId="2" fillId="0" borderId="14" xfId="0" applyNumberFormat="1" applyFont="1" applyFill="1" applyBorder="1" applyAlignment="1">
      <alignment horizontal="center" vertical="center"/>
    </xf>
    <xf numFmtId="164" fontId="2" fillId="0" borderId="20" xfId="1" applyNumberFormat="1" applyFont="1" applyFill="1" applyBorder="1" applyAlignment="1">
      <alignment vertical="center"/>
    </xf>
    <xf numFmtId="9" fontId="2" fillId="0" borderId="21" xfId="0" applyNumberFormat="1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left" vertical="center" wrapText="1"/>
    </xf>
    <xf numFmtId="9" fontId="2" fillId="0" borderId="33" xfId="0" applyNumberFormat="1" applyFont="1" applyFill="1" applyBorder="1" applyAlignment="1">
      <alignment horizontal="left" vertical="center" wrapText="1"/>
    </xf>
    <xf numFmtId="164" fontId="2" fillId="0" borderId="33" xfId="1" applyNumberFormat="1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center" vertical="center" wrapText="1"/>
    </xf>
    <xf numFmtId="0" fontId="2" fillId="0" borderId="38" xfId="0" applyFont="1" applyFill="1" applyBorder="1" applyAlignment="1">
      <alignment horizontal="left" vertical="center" wrapText="1"/>
    </xf>
    <xf numFmtId="9" fontId="2" fillId="0" borderId="38" xfId="0" applyNumberFormat="1" applyFont="1" applyFill="1" applyBorder="1" applyAlignment="1">
      <alignment horizontal="left" vertical="center" wrapText="1"/>
    </xf>
    <xf numFmtId="164" fontId="2" fillId="0" borderId="38" xfId="1" applyNumberFormat="1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 wrapText="1"/>
    </xf>
    <xf numFmtId="0" fontId="2" fillId="0" borderId="39" xfId="0" applyFont="1" applyFill="1" applyBorder="1" applyAlignment="1">
      <alignment horizontal="left" vertical="center" wrapText="1"/>
    </xf>
    <xf numFmtId="0" fontId="3" fillId="4" borderId="0" xfId="0" applyFont="1" applyFill="1"/>
    <xf numFmtId="164" fontId="2" fillId="0" borderId="13" xfId="1" applyNumberFormat="1" applyFont="1" applyFill="1" applyBorder="1" applyAlignment="1">
      <alignment horizontal="left" vertical="center" wrapText="1"/>
    </xf>
    <xf numFmtId="164" fontId="2" fillId="0" borderId="1" xfId="1" applyNumberFormat="1" applyFont="1" applyFill="1" applyBorder="1" applyAlignment="1">
      <alignment horizontal="left" vertical="center" wrapText="1"/>
    </xf>
    <xf numFmtId="164" fontId="2" fillId="0" borderId="20" xfId="1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6" fillId="0" borderId="0" xfId="2"/>
    <xf numFmtId="0" fontId="6" fillId="0" borderId="0" xfId="2" applyAlignment="1">
      <alignment horizontal="center" vertical="center"/>
    </xf>
    <xf numFmtId="0" fontId="6" fillId="0" borderId="0" xfId="2" applyAlignment="1">
      <alignment wrapText="1"/>
    </xf>
    <xf numFmtId="0" fontId="6" fillId="5" borderId="49" xfId="2" applyFill="1" applyBorder="1" applyAlignment="1">
      <alignment horizontal="center" vertical="center" wrapText="1"/>
    </xf>
    <xf numFmtId="9" fontId="6" fillId="6" borderId="50" xfId="2" applyNumberFormat="1" applyFill="1" applyBorder="1" applyAlignment="1">
      <alignment horizontal="center"/>
    </xf>
    <xf numFmtId="0" fontId="6" fillId="0" borderId="50" xfId="2" applyBorder="1" applyAlignment="1">
      <alignment vertical="center" wrapText="1"/>
    </xf>
    <xf numFmtId="0" fontId="7" fillId="7" borderId="51" xfId="2" applyFont="1" applyFill="1" applyBorder="1" applyAlignment="1">
      <alignment horizontal="center" vertical="center"/>
    </xf>
    <xf numFmtId="0" fontId="6" fillId="5" borderId="49" xfId="2" applyFill="1" applyBorder="1" applyAlignment="1">
      <alignment horizontal="center" vertical="center"/>
    </xf>
    <xf numFmtId="0" fontId="6" fillId="6" borderId="52" xfId="2" applyFill="1" applyBorder="1" applyAlignment="1">
      <alignment horizontal="center"/>
    </xf>
    <xf numFmtId="9" fontId="6" fillId="6" borderId="53" xfId="2" applyNumberFormat="1" applyFill="1" applyBorder="1" applyAlignment="1">
      <alignment horizontal="center"/>
    </xf>
    <xf numFmtId="0" fontId="6" fillId="0" borderId="55" xfId="2" applyBorder="1" applyAlignment="1">
      <alignment horizontal="left" vertical="center" wrapText="1"/>
    </xf>
    <xf numFmtId="0" fontId="6" fillId="0" borderId="50" xfId="2" applyBorder="1" applyAlignment="1">
      <alignment horizontal="left" vertical="center" wrapText="1"/>
    </xf>
    <xf numFmtId="0" fontId="6" fillId="0" borderId="48" xfId="2" applyBorder="1" applyAlignment="1">
      <alignment vertical="center" wrapText="1"/>
    </xf>
    <xf numFmtId="0" fontId="6" fillId="0" borderId="51" xfId="2" applyBorder="1" applyAlignment="1">
      <alignment vertical="center" wrapText="1"/>
    </xf>
    <xf numFmtId="0" fontId="6" fillId="5" borderId="50" xfId="2" applyFill="1" applyBorder="1" applyAlignment="1">
      <alignment horizontal="center" vertical="center"/>
    </xf>
    <xf numFmtId="0" fontId="6" fillId="6" borderId="54" xfId="2" applyFill="1" applyBorder="1" applyAlignment="1">
      <alignment horizontal="center"/>
    </xf>
    <xf numFmtId="0" fontId="6" fillId="0" borderId="51" xfId="2" applyBorder="1" applyAlignment="1">
      <alignment wrapText="1"/>
    </xf>
    <xf numFmtId="0" fontId="6" fillId="0" borderId="53" xfId="2" applyBorder="1" applyAlignment="1">
      <alignment wrapText="1"/>
    </xf>
    <xf numFmtId="0" fontId="7" fillId="7" borderId="53" xfId="2" applyFont="1" applyFill="1" applyBorder="1" applyAlignment="1">
      <alignment horizontal="center" vertical="center"/>
    </xf>
    <xf numFmtId="0" fontId="7" fillId="7" borderId="50" xfId="2" applyFont="1" applyFill="1" applyBorder="1" applyAlignment="1">
      <alignment horizontal="center" vertical="center"/>
    </xf>
    <xf numFmtId="0" fontId="9" fillId="5" borderId="45" xfId="2" applyFont="1" applyFill="1" applyBorder="1" applyAlignment="1">
      <alignment horizontal="center" vertical="center" wrapText="1"/>
    </xf>
    <xf numFmtId="0" fontId="6" fillId="6" borderId="45" xfId="2" applyFill="1" applyBorder="1" applyAlignment="1">
      <alignment horizontal="center"/>
    </xf>
    <xf numFmtId="0" fontId="2" fillId="4" borderId="13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164" fontId="2" fillId="0" borderId="4" xfId="1" applyNumberFormat="1" applyFont="1" applyFill="1" applyBorder="1" applyAlignment="1">
      <alignment horizontal="left" vertical="center"/>
    </xf>
    <xf numFmtId="9" fontId="2" fillId="0" borderId="4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2" fillId="0" borderId="23" xfId="0" applyFont="1" applyFill="1" applyBorder="1" applyAlignment="1">
      <alignment horizontal="center" vertical="center"/>
    </xf>
    <xf numFmtId="164" fontId="2" fillId="0" borderId="5" xfId="1" applyNumberFormat="1" applyFont="1" applyFill="1" applyBorder="1" applyAlignment="1">
      <alignment horizontal="left" vertical="center"/>
    </xf>
    <xf numFmtId="164" fontId="2" fillId="0" borderId="5" xfId="1" applyNumberFormat="1" applyFont="1" applyFill="1" applyBorder="1" applyAlignment="1">
      <alignment horizontal="center" vertical="center"/>
    </xf>
    <xf numFmtId="9" fontId="2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164" fontId="2" fillId="0" borderId="20" xfId="1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9" fontId="2" fillId="0" borderId="1" xfId="1" applyNumberFormat="1" applyFont="1" applyFill="1" applyBorder="1" applyAlignment="1">
      <alignment horizontal="center" vertical="center"/>
    </xf>
    <xf numFmtId="9" fontId="2" fillId="0" borderId="20" xfId="1" applyNumberFormat="1" applyFont="1" applyFill="1" applyBorder="1" applyAlignment="1">
      <alignment horizontal="center" vertical="center"/>
    </xf>
    <xf numFmtId="164" fontId="2" fillId="0" borderId="2" xfId="1" applyNumberFormat="1" applyFont="1" applyFill="1" applyBorder="1" applyAlignment="1">
      <alignment horizontal="left" vertical="center" wrapText="1"/>
    </xf>
    <xf numFmtId="164" fontId="2" fillId="0" borderId="2" xfId="1" applyNumberFormat="1" applyFont="1" applyFill="1" applyBorder="1" applyAlignment="1">
      <alignment horizontal="left" vertical="center"/>
    </xf>
    <xf numFmtId="164" fontId="2" fillId="0" borderId="2" xfId="1" applyNumberFormat="1" applyFont="1" applyFill="1" applyBorder="1" applyAlignment="1">
      <alignment horizontal="center" vertical="center"/>
    </xf>
    <xf numFmtId="9" fontId="2" fillId="0" borderId="2" xfId="0" applyNumberFormat="1" applyFont="1" applyFill="1" applyBorder="1" applyAlignment="1">
      <alignment horizontal="center" vertical="center"/>
    </xf>
    <xf numFmtId="164" fontId="2" fillId="0" borderId="5" xfId="1" applyNumberFormat="1" applyFont="1" applyFill="1" applyBorder="1" applyAlignment="1">
      <alignment horizontal="left" vertical="center" wrapText="1"/>
    </xf>
    <xf numFmtId="164" fontId="2" fillId="0" borderId="13" xfId="1" applyNumberFormat="1" applyFont="1" applyFill="1" applyBorder="1" applyAlignment="1">
      <alignment horizontal="center"/>
    </xf>
    <xf numFmtId="9" fontId="2" fillId="0" borderId="1" xfId="1" applyFont="1" applyFill="1" applyBorder="1" applyAlignment="1">
      <alignment horizontal="center"/>
    </xf>
    <xf numFmtId="0" fontId="3" fillId="10" borderId="0" xfId="0" applyFont="1" applyFill="1"/>
    <xf numFmtId="9" fontId="2" fillId="10" borderId="3" xfId="1" applyNumberFormat="1" applyFont="1" applyFill="1" applyBorder="1" applyAlignment="1">
      <alignment horizontal="center" vertical="center"/>
    </xf>
    <xf numFmtId="0" fontId="2" fillId="10" borderId="23" xfId="0" applyFont="1" applyFill="1" applyBorder="1" applyAlignment="1">
      <alignment vertical="center"/>
    </xf>
    <xf numFmtId="9" fontId="2" fillId="10" borderId="6" xfId="1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left" vertical="center" wrapText="1"/>
    </xf>
    <xf numFmtId="164" fontId="2" fillId="10" borderId="8" xfId="1" applyNumberFormat="1" applyFont="1" applyFill="1" applyBorder="1" applyAlignment="1">
      <alignment horizontal="left" vertical="center"/>
    </xf>
    <xf numFmtId="164" fontId="2" fillId="10" borderId="8" xfId="1" applyNumberFormat="1" applyFont="1" applyFill="1" applyBorder="1" applyAlignment="1">
      <alignment horizontal="center" vertical="center"/>
    </xf>
    <xf numFmtId="164" fontId="2" fillId="10" borderId="0" xfId="1" applyNumberFormat="1" applyFont="1" applyFill="1" applyBorder="1" applyAlignment="1">
      <alignment horizontal="left" vertical="center"/>
    </xf>
    <xf numFmtId="9" fontId="2" fillId="10" borderId="4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 wrapText="1"/>
    </xf>
    <xf numFmtId="164" fontId="2" fillId="10" borderId="3" xfId="1" applyNumberFormat="1" applyFont="1" applyFill="1" applyBorder="1" applyAlignment="1">
      <alignment horizontal="left" vertical="center" wrapText="1"/>
    </xf>
    <xf numFmtId="164" fontId="2" fillId="10" borderId="23" xfId="1" applyNumberFormat="1" applyFont="1" applyFill="1" applyBorder="1" applyAlignment="1">
      <alignment horizontal="left" vertical="center"/>
    </xf>
    <xf numFmtId="164" fontId="2" fillId="10" borderId="23" xfId="1" applyNumberFormat="1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left" vertical="center" wrapText="1"/>
    </xf>
    <xf numFmtId="9" fontId="2" fillId="10" borderId="3" xfId="0" applyNumberFormat="1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 wrapText="1"/>
    </xf>
    <xf numFmtId="164" fontId="2" fillId="10" borderId="3" xfId="1" applyNumberFormat="1" applyFont="1" applyFill="1" applyBorder="1" applyAlignment="1">
      <alignment horizontal="center" vertical="center"/>
    </xf>
    <xf numFmtId="0" fontId="0" fillId="10" borderId="0" xfId="0" applyFill="1" applyAlignment="1">
      <alignment wrapText="1"/>
    </xf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 wrapText="1"/>
    </xf>
    <xf numFmtId="0" fontId="5" fillId="10" borderId="0" xfId="0" applyFont="1" applyFill="1" applyBorder="1" applyAlignment="1">
      <alignment horizontal="left" vertical="center" readingOrder="1"/>
    </xf>
    <xf numFmtId="9" fontId="2" fillId="10" borderId="3" xfId="0" applyNumberFormat="1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9" fontId="2" fillId="0" borderId="24" xfId="1" applyNumberFormat="1" applyFont="1" applyFill="1" applyBorder="1" applyAlignment="1">
      <alignment horizontal="center" vertical="center"/>
    </xf>
    <xf numFmtId="9" fontId="2" fillId="0" borderId="6" xfId="1" applyNumberFormat="1" applyFont="1" applyFill="1" applyBorder="1" applyAlignment="1">
      <alignment horizontal="center" vertical="center"/>
    </xf>
    <xf numFmtId="9" fontId="2" fillId="0" borderId="26" xfId="1" applyNumberFormat="1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 vertical="center" wrapText="1"/>
    </xf>
    <xf numFmtId="9" fontId="2" fillId="0" borderId="13" xfId="0" applyNumberFormat="1" applyFont="1" applyFill="1" applyBorder="1" applyAlignment="1">
      <alignment horizontal="center" vertical="center" wrapText="1"/>
    </xf>
    <xf numFmtId="9" fontId="2" fillId="0" borderId="20" xfId="0" applyNumberFormat="1" applyFont="1" applyFill="1" applyBorder="1" applyAlignment="1">
      <alignment horizontal="center" vertical="center" wrapText="1"/>
    </xf>
    <xf numFmtId="9" fontId="2" fillId="0" borderId="27" xfId="1" applyNumberFormat="1" applyFont="1" applyFill="1" applyBorder="1" applyAlignment="1">
      <alignment horizontal="center" vertical="center"/>
    </xf>
    <xf numFmtId="9" fontId="2" fillId="0" borderId="3" xfId="1" applyNumberFormat="1" applyFont="1" applyFill="1" applyBorder="1" applyAlignment="1">
      <alignment horizontal="center" vertical="center"/>
    </xf>
    <xf numFmtId="9" fontId="2" fillId="0" borderId="29" xfId="1" applyNumberFormat="1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48" xfId="0" applyFont="1" applyFill="1" applyBorder="1" applyAlignment="1">
      <alignment horizontal="center" vertical="center"/>
    </xf>
    <xf numFmtId="9" fontId="2" fillId="0" borderId="11" xfId="1" applyNumberFormat="1" applyFont="1" applyFill="1" applyBorder="1" applyAlignment="1">
      <alignment horizontal="center" vertical="center"/>
    </xf>
    <xf numFmtId="9" fontId="2" fillId="0" borderId="16" xfId="1" applyNumberFormat="1" applyFont="1" applyFill="1" applyBorder="1" applyAlignment="1">
      <alignment horizontal="center" vertical="center"/>
    </xf>
    <xf numFmtId="9" fontId="2" fillId="0" borderId="18" xfId="1" applyNumberFormat="1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 wrapText="1"/>
    </xf>
    <xf numFmtId="0" fontId="2" fillId="0" borderId="37" xfId="0" applyFont="1" applyFill="1" applyBorder="1" applyAlignment="1">
      <alignment horizontal="center" vertical="center" wrapText="1"/>
    </xf>
    <xf numFmtId="9" fontId="2" fillId="0" borderId="33" xfId="0" applyNumberFormat="1" applyFont="1" applyFill="1" applyBorder="1" applyAlignment="1">
      <alignment horizontal="center" vertical="center" wrapText="1"/>
    </xf>
    <xf numFmtId="9" fontId="2" fillId="0" borderId="38" xfId="0" applyNumberFormat="1" applyFont="1" applyFill="1" applyBorder="1" applyAlignment="1">
      <alignment horizontal="center" vertical="center" wrapText="1"/>
    </xf>
    <xf numFmtId="9" fontId="2" fillId="0" borderId="12" xfId="1" applyNumberFormat="1" applyFont="1" applyFill="1" applyBorder="1" applyAlignment="1">
      <alignment horizontal="center" vertical="center"/>
    </xf>
    <xf numFmtId="9" fontId="2" fillId="0" borderId="10" xfId="1" applyNumberFormat="1" applyFont="1" applyFill="1" applyBorder="1" applyAlignment="1">
      <alignment horizontal="center" vertical="center"/>
    </xf>
    <xf numFmtId="9" fontId="2" fillId="0" borderId="19" xfId="1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9" fontId="2" fillId="3" borderId="33" xfId="1" applyNumberFormat="1" applyFont="1" applyFill="1" applyBorder="1" applyAlignment="1">
      <alignment horizontal="center" vertical="center"/>
    </xf>
    <xf numFmtId="9" fontId="2" fillId="3" borderId="5" xfId="1" applyNumberFormat="1" applyFont="1" applyFill="1" applyBorder="1" applyAlignment="1">
      <alignment horizontal="center" vertical="center"/>
    </xf>
    <xf numFmtId="9" fontId="2" fillId="3" borderId="38" xfId="1" applyNumberFormat="1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9" fontId="2" fillId="3" borderId="41" xfId="1" applyNumberFormat="1" applyFont="1" applyFill="1" applyBorder="1" applyAlignment="1">
      <alignment horizontal="center" vertical="center"/>
    </xf>
    <xf numFmtId="9" fontId="2" fillId="3" borderId="43" xfId="1" applyNumberFormat="1" applyFont="1" applyFill="1" applyBorder="1" applyAlignment="1">
      <alignment horizontal="center" vertical="center"/>
    </xf>
    <xf numFmtId="0" fontId="6" fillId="5" borderId="52" xfId="2" applyFill="1" applyBorder="1" applyAlignment="1">
      <alignment horizontal="center" vertical="center" wrapText="1"/>
    </xf>
    <xf numFmtId="0" fontId="6" fillId="5" borderId="53" xfId="2" applyFill="1" applyBorder="1" applyAlignment="1">
      <alignment horizontal="center" vertical="center" wrapText="1"/>
    </xf>
    <xf numFmtId="0" fontId="8" fillId="8" borderId="51" xfId="2" applyFont="1" applyFill="1" applyBorder="1" applyAlignment="1">
      <alignment horizontal="center" vertical="center"/>
    </xf>
    <xf numFmtId="0" fontId="8" fillId="8" borderId="49" xfId="2" applyFont="1" applyFill="1" applyBorder="1" applyAlignment="1">
      <alignment horizontal="center" vertical="center"/>
    </xf>
    <xf numFmtId="0" fontId="6" fillId="5" borderId="54" xfId="2" applyFill="1" applyBorder="1" applyAlignment="1">
      <alignment horizontal="center" vertical="center" wrapText="1"/>
    </xf>
    <xf numFmtId="0" fontId="7" fillId="7" borderId="52" xfId="2" applyFont="1" applyFill="1" applyBorder="1" applyAlignment="1">
      <alignment horizontal="center" vertical="center"/>
    </xf>
    <xf numFmtId="0" fontId="7" fillId="7" borderId="54" xfId="2" applyFont="1" applyFill="1" applyBorder="1" applyAlignment="1">
      <alignment horizontal="center" vertical="center"/>
    </xf>
    <xf numFmtId="0" fontId="7" fillId="7" borderId="52" xfId="2" applyFont="1" applyFill="1" applyBorder="1" applyAlignment="1">
      <alignment horizontal="center" vertical="center" wrapText="1"/>
    </xf>
    <xf numFmtId="0" fontId="7" fillId="7" borderId="53" xfId="2" applyFont="1" applyFill="1" applyBorder="1" applyAlignment="1">
      <alignment horizontal="center" vertical="center" wrapText="1"/>
    </xf>
    <xf numFmtId="9" fontId="6" fillId="6" borderId="52" xfId="2" applyNumberFormat="1" applyFill="1" applyBorder="1" applyAlignment="1">
      <alignment horizontal="center"/>
    </xf>
    <xf numFmtId="0" fontId="6" fillId="6" borderId="53" xfId="2" applyFill="1" applyBorder="1" applyAlignment="1">
      <alignment horizontal="center"/>
    </xf>
    <xf numFmtId="0" fontId="7" fillId="7" borderId="53" xfId="2" applyFont="1" applyFill="1" applyBorder="1" applyAlignment="1">
      <alignment horizontal="center" vertical="center"/>
    </xf>
    <xf numFmtId="0" fontId="10" fillId="9" borderId="32" xfId="2" applyFont="1" applyFill="1" applyBorder="1" applyAlignment="1">
      <alignment horizontal="center" vertical="center"/>
    </xf>
    <xf numFmtId="0" fontId="10" fillId="9" borderId="37" xfId="2" applyFont="1" applyFill="1" applyBorder="1" applyAlignment="1">
      <alignment horizontal="center" vertical="center"/>
    </xf>
    <xf numFmtId="0" fontId="7" fillId="9" borderId="33" xfId="2" applyFont="1" applyFill="1" applyBorder="1" applyAlignment="1">
      <alignment horizontal="center" vertical="center" wrapText="1"/>
    </xf>
    <xf numFmtId="0" fontId="7" fillId="9" borderId="38" xfId="2" applyFont="1" applyFill="1" applyBorder="1" applyAlignment="1">
      <alignment horizontal="center" vertical="center" wrapText="1"/>
    </xf>
    <xf numFmtId="0" fontId="7" fillId="6" borderId="33" xfId="2" applyFont="1" applyFill="1" applyBorder="1" applyAlignment="1">
      <alignment horizontal="center" vertical="center" wrapText="1"/>
    </xf>
    <xf numFmtId="0" fontId="7" fillId="6" borderId="38" xfId="2" applyFont="1" applyFill="1" applyBorder="1" applyAlignment="1">
      <alignment horizontal="center" vertical="center" wrapText="1"/>
    </xf>
    <xf numFmtId="0" fontId="7" fillId="5" borderId="34" xfId="2" applyFont="1" applyFill="1" applyBorder="1" applyAlignment="1">
      <alignment horizontal="center" vertical="center" wrapText="1"/>
    </xf>
    <xf numFmtId="0" fontId="7" fillId="5" borderId="39" xfId="2" applyFont="1" applyFill="1" applyBorder="1" applyAlignment="1">
      <alignment horizontal="center" vertical="center" wrapText="1"/>
    </xf>
    <xf numFmtId="0" fontId="8" fillId="8" borderId="56" xfId="2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showGridLines="0" tabSelected="1" zoomScale="80" zoomScaleNormal="80" workbookViewId="0">
      <selection activeCell="K19" sqref="K19"/>
    </sheetView>
  </sheetViews>
  <sheetFormatPr defaultColWidth="9.1796875" defaultRowHeight="13" x14ac:dyDescent="0.3"/>
  <cols>
    <col min="1" max="1" width="28" style="2" bestFit="1" customWidth="1"/>
    <col min="2" max="2" width="10.7265625" style="2" bestFit="1" customWidth="1"/>
    <col min="3" max="3" width="45.81640625" style="2" bestFit="1" customWidth="1"/>
    <col min="4" max="4" width="12.1796875" style="2" customWidth="1"/>
    <col min="5" max="5" width="9.7265625" style="2" customWidth="1"/>
    <col min="6" max="6" width="44.7265625" style="4" customWidth="1"/>
    <col min="7" max="7" width="10.81640625" style="5" customWidth="1"/>
    <col min="8" max="8" width="9.7265625" style="2" customWidth="1"/>
    <col min="9" max="9" width="22.453125" style="5" bestFit="1" customWidth="1"/>
    <col min="10" max="255" width="16.1796875" style="2" customWidth="1"/>
    <col min="256" max="16384" width="9.1796875" style="2"/>
  </cols>
  <sheetData>
    <row r="1" spans="1:9" s="1" customFormat="1" ht="26.5" thickBot="1" x14ac:dyDescent="0.4">
      <c r="A1" s="11" t="s">
        <v>0</v>
      </c>
      <c r="B1" s="11" t="s">
        <v>1</v>
      </c>
      <c r="C1" s="11" t="s">
        <v>34</v>
      </c>
      <c r="D1" s="11" t="s">
        <v>98</v>
      </c>
      <c r="E1" s="11" t="s">
        <v>120</v>
      </c>
      <c r="F1" s="11" t="s">
        <v>3</v>
      </c>
      <c r="G1" s="11" t="s">
        <v>4</v>
      </c>
      <c r="H1" s="11" t="s">
        <v>5</v>
      </c>
      <c r="I1" s="11" t="s">
        <v>6</v>
      </c>
    </row>
    <row r="2" spans="1:9" x14ac:dyDescent="0.3">
      <c r="A2" s="181" t="s">
        <v>31</v>
      </c>
      <c r="B2" s="184">
        <v>0.3</v>
      </c>
      <c r="C2" s="30" t="s">
        <v>44</v>
      </c>
      <c r="D2" s="84">
        <v>0.4</v>
      </c>
      <c r="E2" s="51">
        <f t="shared" ref="E2:E6" si="0">D2*$B$2</f>
        <v>0.12</v>
      </c>
      <c r="F2" s="30" t="s">
        <v>25</v>
      </c>
      <c r="G2" s="86">
        <v>0.95</v>
      </c>
      <c r="H2" s="34" t="s">
        <v>7</v>
      </c>
      <c r="I2" s="35" t="s">
        <v>12</v>
      </c>
    </row>
    <row r="3" spans="1:9" x14ac:dyDescent="0.3">
      <c r="A3" s="182"/>
      <c r="B3" s="185"/>
      <c r="C3" s="6" t="s">
        <v>232</v>
      </c>
      <c r="D3" s="24">
        <v>0.2</v>
      </c>
      <c r="E3" s="7">
        <f t="shared" si="0"/>
        <v>0.06</v>
      </c>
      <c r="F3" s="6" t="s">
        <v>67</v>
      </c>
      <c r="G3" s="26">
        <v>0.5</v>
      </c>
      <c r="H3" s="145" t="s">
        <v>7</v>
      </c>
      <c r="I3" s="36" t="s">
        <v>12</v>
      </c>
    </row>
    <row r="4" spans="1:9" ht="26" x14ac:dyDescent="0.3">
      <c r="A4" s="182"/>
      <c r="B4" s="185"/>
      <c r="C4" s="6" t="s">
        <v>234</v>
      </c>
      <c r="D4" s="24">
        <v>0.25</v>
      </c>
      <c r="E4" s="7">
        <f t="shared" si="0"/>
        <v>7.4999999999999997E-2</v>
      </c>
      <c r="F4" s="6" t="s">
        <v>244</v>
      </c>
      <c r="G4" s="26">
        <v>0.95</v>
      </c>
      <c r="H4" s="145" t="s">
        <v>7</v>
      </c>
      <c r="I4" s="36" t="s">
        <v>12</v>
      </c>
    </row>
    <row r="5" spans="1:9" ht="39" x14ac:dyDescent="0.3">
      <c r="A5" s="182"/>
      <c r="B5" s="185"/>
      <c r="C5" s="6" t="s">
        <v>233</v>
      </c>
      <c r="D5" s="24">
        <v>0.1</v>
      </c>
      <c r="E5" s="7">
        <f t="shared" si="0"/>
        <v>0.03</v>
      </c>
      <c r="F5" s="6" t="s">
        <v>235</v>
      </c>
      <c r="G5" s="26">
        <v>1</v>
      </c>
      <c r="H5" s="145" t="s">
        <v>7</v>
      </c>
      <c r="I5" s="36" t="s">
        <v>12</v>
      </c>
    </row>
    <row r="6" spans="1:9" ht="13.5" thickBot="1" x14ac:dyDescent="0.35">
      <c r="A6" s="183"/>
      <c r="B6" s="186"/>
      <c r="C6" s="37" t="s">
        <v>35</v>
      </c>
      <c r="D6" s="85">
        <v>0.05</v>
      </c>
      <c r="E6" s="52">
        <f t="shared" si="0"/>
        <v>1.4999999999999999E-2</v>
      </c>
      <c r="F6" s="37" t="s">
        <v>56</v>
      </c>
      <c r="G6" s="88">
        <v>0.95</v>
      </c>
      <c r="H6" s="41" t="s">
        <v>7</v>
      </c>
      <c r="I6" s="42" t="s">
        <v>12</v>
      </c>
    </row>
    <row r="7" spans="1:9" ht="13.5" thickBot="1" x14ac:dyDescent="0.35">
      <c r="A7" s="171"/>
      <c r="B7" s="156"/>
      <c r="C7" s="169"/>
      <c r="D7" s="169"/>
      <c r="E7" s="173"/>
      <c r="F7" s="169"/>
      <c r="G7" s="170"/>
      <c r="H7" s="171"/>
      <c r="I7" s="172"/>
    </row>
    <row r="8" spans="1:9" x14ac:dyDescent="0.3">
      <c r="A8" s="181" t="s">
        <v>30</v>
      </c>
      <c r="B8" s="191">
        <v>0.3</v>
      </c>
      <c r="C8" s="30" t="s">
        <v>246</v>
      </c>
      <c r="D8" s="84">
        <v>0.2</v>
      </c>
      <c r="E8" s="51">
        <f t="shared" ref="E8:E14" si="1">D8*$B$8</f>
        <v>0.06</v>
      </c>
      <c r="F8" s="30" t="s">
        <v>26</v>
      </c>
      <c r="G8" s="33">
        <v>0.98</v>
      </c>
      <c r="H8" s="34" t="s">
        <v>7</v>
      </c>
      <c r="I8" s="35" t="s">
        <v>12</v>
      </c>
    </row>
    <row r="9" spans="1:9" x14ac:dyDescent="0.3">
      <c r="A9" s="182"/>
      <c r="B9" s="192"/>
      <c r="C9" s="6" t="s">
        <v>231</v>
      </c>
      <c r="D9" s="24">
        <v>0.2</v>
      </c>
      <c r="E9" s="7">
        <f t="shared" si="1"/>
        <v>0.06</v>
      </c>
      <c r="F9" s="6" t="s">
        <v>203</v>
      </c>
      <c r="G9" s="21">
        <v>1</v>
      </c>
      <c r="H9" s="145" t="s">
        <v>7</v>
      </c>
      <c r="I9" s="36" t="s">
        <v>12</v>
      </c>
    </row>
    <row r="10" spans="1:9" x14ac:dyDescent="0.3">
      <c r="A10" s="182"/>
      <c r="B10" s="192"/>
      <c r="C10" s="6" t="s">
        <v>223</v>
      </c>
      <c r="D10" s="24">
        <v>0.15</v>
      </c>
      <c r="E10" s="7">
        <f t="shared" si="1"/>
        <v>4.4999999999999998E-2</v>
      </c>
      <c r="F10" s="6" t="s">
        <v>58</v>
      </c>
      <c r="G10" s="21">
        <v>0</v>
      </c>
      <c r="H10" s="145" t="s">
        <v>8</v>
      </c>
      <c r="I10" s="36" t="s">
        <v>10</v>
      </c>
    </row>
    <row r="11" spans="1:9" x14ac:dyDescent="0.3">
      <c r="A11" s="182"/>
      <c r="B11" s="192"/>
      <c r="C11" s="6" t="s">
        <v>121</v>
      </c>
      <c r="D11" s="24">
        <v>0.1</v>
      </c>
      <c r="E11" s="7">
        <f t="shared" si="1"/>
        <v>0.03</v>
      </c>
      <c r="F11" s="6" t="s">
        <v>59</v>
      </c>
      <c r="G11" s="21">
        <v>0.98</v>
      </c>
      <c r="H11" s="145" t="s">
        <v>7</v>
      </c>
      <c r="I11" s="36" t="s">
        <v>12</v>
      </c>
    </row>
    <row r="12" spans="1:9" x14ac:dyDescent="0.3">
      <c r="A12" s="182"/>
      <c r="B12" s="192"/>
      <c r="C12" s="6" t="s">
        <v>82</v>
      </c>
      <c r="D12" s="24">
        <v>0.1</v>
      </c>
      <c r="E12" s="7">
        <f t="shared" si="1"/>
        <v>0.03</v>
      </c>
      <c r="F12" s="6" t="s">
        <v>37</v>
      </c>
      <c r="G12" s="21">
        <v>0.95</v>
      </c>
      <c r="H12" s="145" t="s">
        <v>7</v>
      </c>
      <c r="I12" s="36" t="s">
        <v>10</v>
      </c>
    </row>
    <row r="13" spans="1:9" x14ac:dyDescent="0.3">
      <c r="A13" s="182"/>
      <c r="B13" s="192"/>
      <c r="C13" s="6" t="s">
        <v>122</v>
      </c>
      <c r="D13" s="24">
        <v>0.15</v>
      </c>
      <c r="E13" s="7">
        <f t="shared" si="1"/>
        <v>4.4999999999999998E-2</v>
      </c>
      <c r="F13" s="6" t="s">
        <v>60</v>
      </c>
      <c r="G13" s="21" t="s">
        <v>61</v>
      </c>
      <c r="H13" s="145" t="s">
        <v>7</v>
      </c>
      <c r="I13" s="36" t="s">
        <v>10</v>
      </c>
    </row>
    <row r="14" spans="1:9" ht="13.5" thickBot="1" x14ac:dyDescent="0.35">
      <c r="A14" s="183"/>
      <c r="B14" s="193"/>
      <c r="C14" s="37" t="s">
        <v>63</v>
      </c>
      <c r="D14" s="85">
        <v>0.1</v>
      </c>
      <c r="E14" s="52">
        <f t="shared" si="1"/>
        <v>0.03</v>
      </c>
      <c r="F14" s="37" t="s">
        <v>62</v>
      </c>
      <c r="G14" s="40">
        <v>1</v>
      </c>
      <c r="H14" s="41" t="s">
        <v>7</v>
      </c>
      <c r="I14" s="42" t="s">
        <v>12</v>
      </c>
    </row>
    <row r="15" spans="1:9" ht="13.5" thickBot="1" x14ac:dyDescent="0.35">
      <c r="A15" s="171"/>
      <c r="B15" s="156"/>
      <c r="C15" s="169"/>
      <c r="D15" s="169"/>
      <c r="E15" s="173"/>
      <c r="F15" s="169"/>
      <c r="G15" s="171"/>
      <c r="H15" s="171"/>
      <c r="I15" s="172"/>
    </row>
    <row r="16" spans="1:9" x14ac:dyDescent="0.3">
      <c r="A16" s="181" t="s">
        <v>15</v>
      </c>
      <c r="B16" s="191">
        <v>0.2</v>
      </c>
      <c r="C16" s="30" t="s">
        <v>224</v>
      </c>
      <c r="D16" s="84">
        <v>0.25</v>
      </c>
      <c r="E16" s="51">
        <f>D16*$B$16</f>
        <v>0.05</v>
      </c>
      <c r="F16" s="30" t="s">
        <v>200</v>
      </c>
      <c r="G16" s="33">
        <v>1</v>
      </c>
      <c r="H16" s="34" t="s">
        <v>17</v>
      </c>
      <c r="I16" s="35" t="s">
        <v>10</v>
      </c>
    </row>
    <row r="17" spans="1:9" ht="26" x14ac:dyDescent="0.3">
      <c r="A17" s="182"/>
      <c r="B17" s="192"/>
      <c r="C17" s="6" t="s">
        <v>236</v>
      </c>
      <c r="D17" s="24">
        <v>0.25</v>
      </c>
      <c r="E17" s="7">
        <f>D17*$B$16</f>
        <v>0.05</v>
      </c>
      <c r="F17" s="6" t="s">
        <v>245</v>
      </c>
      <c r="G17" s="21">
        <v>1</v>
      </c>
      <c r="H17" s="145" t="s">
        <v>17</v>
      </c>
      <c r="I17" s="36" t="s">
        <v>10</v>
      </c>
    </row>
    <row r="18" spans="1:9" ht="26" x14ac:dyDescent="0.3">
      <c r="A18" s="182"/>
      <c r="B18" s="192"/>
      <c r="C18" s="6" t="s">
        <v>228</v>
      </c>
      <c r="D18" s="24">
        <v>0.25</v>
      </c>
      <c r="E18" s="7">
        <f>D18*$B$16</f>
        <v>0.05</v>
      </c>
      <c r="F18" s="6" t="s">
        <v>65</v>
      </c>
      <c r="G18" s="21">
        <v>0.5</v>
      </c>
      <c r="H18" s="145" t="s">
        <v>17</v>
      </c>
      <c r="I18" s="36" t="s">
        <v>10</v>
      </c>
    </row>
    <row r="19" spans="1:9" x14ac:dyDescent="0.3">
      <c r="A19" s="182"/>
      <c r="B19" s="192"/>
      <c r="C19" s="6" t="s">
        <v>229</v>
      </c>
      <c r="D19" s="24">
        <v>0.15</v>
      </c>
      <c r="E19" s="7">
        <f>D19*$B$16</f>
        <v>0.03</v>
      </c>
      <c r="F19" s="6" t="s">
        <v>64</v>
      </c>
      <c r="G19" s="21">
        <v>0.75</v>
      </c>
      <c r="H19" s="145" t="s">
        <v>17</v>
      </c>
      <c r="I19" s="36" t="s">
        <v>10</v>
      </c>
    </row>
    <row r="20" spans="1:9" ht="13.5" thickBot="1" x14ac:dyDescent="0.35">
      <c r="A20" s="183"/>
      <c r="B20" s="193"/>
      <c r="C20" s="37" t="s">
        <v>230</v>
      </c>
      <c r="D20" s="85">
        <v>0.1</v>
      </c>
      <c r="E20" s="52">
        <f>D20*$B$16</f>
        <v>2.0000000000000004E-2</v>
      </c>
      <c r="F20" s="37" t="s">
        <v>201</v>
      </c>
      <c r="G20" s="40">
        <v>1</v>
      </c>
      <c r="H20" s="41" t="s">
        <v>17</v>
      </c>
      <c r="I20" s="42" t="s">
        <v>10</v>
      </c>
    </row>
    <row r="21" spans="1:9" ht="13.5" thickBot="1" x14ac:dyDescent="0.35">
      <c r="A21" s="171"/>
      <c r="B21" s="156"/>
      <c r="C21" s="169"/>
      <c r="D21" s="180"/>
      <c r="E21" s="173"/>
      <c r="F21" s="169"/>
      <c r="G21" s="170"/>
      <c r="H21" s="171"/>
      <c r="I21" s="172"/>
    </row>
    <row r="22" spans="1:9" x14ac:dyDescent="0.3">
      <c r="A22" s="181" t="s">
        <v>13</v>
      </c>
      <c r="B22" s="191">
        <v>0.1</v>
      </c>
      <c r="C22" s="30" t="s">
        <v>123</v>
      </c>
      <c r="D22" s="84">
        <v>0.5</v>
      </c>
      <c r="E22" s="51">
        <f>D22*$B$22</f>
        <v>0.05</v>
      </c>
      <c r="F22" s="30" t="s">
        <v>28</v>
      </c>
      <c r="G22" s="33">
        <v>1</v>
      </c>
      <c r="H22" s="34" t="s">
        <v>7</v>
      </c>
      <c r="I22" s="35" t="s">
        <v>19</v>
      </c>
    </row>
    <row r="23" spans="1:9" x14ac:dyDescent="0.3">
      <c r="A23" s="182"/>
      <c r="B23" s="192"/>
      <c r="C23" s="6" t="s">
        <v>38</v>
      </c>
      <c r="D23" s="24">
        <v>0.25</v>
      </c>
      <c r="E23" s="7">
        <f>D23*$B$22</f>
        <v>2.5000000000000001E-2</v>
      </c>
      <c r="F23" s="6" t="s">
        <v>66</v>
      </c>
      <c r="G23" s="21" t="s">
        <v>27</v>
      </c>
      <c r="H23" s="145" t="s">
        <v>17</v>
      </c>
      <c r="I23" s="36" t="s">
        <v>10</v>
      </c>
    </row>
    <row r="24" spans="1:9" ht="13.5" thickBot="1" x14ac:dyDescent="0.35">
      <c r="A24" s="183"/>
      <c r="B24" s="193"/>
      <c r="C24" s="37" t="s">
        <v>118</v>
      </c>
      <c r="D24" s="85">
        <v>0.25</v>
      </c>
      <c r="E24" s="52">
        <f>D24*$B$22</f>
        <v>2.5000000000000001E-2</v>
      </c>
      <c r="F24" s="53" t="s">
        <v>14</v>
      </c>
      <c r="G24" s="40">
        <v>1</v>
      </c>
      <c r="H24" s="41" t="s">
        <v>17</v>
      </c>
      <c r="I24" s="42" t="s">
        <v>18</v>
      </c>
    </row>
    <row r="25" spans="1:9" ht="13.5" thickBot="1" x14ac:dyDescent="0.35">
      <c r="A25" s="171"/>
      <c r="B25" s="156"/>
      <c r="C25" s="169"/>
      <c r="D25" s="169"/>
      <c r="E25" s="173"/>
      <c r="F25" s="169"/>
      <c r="G25" s="170"/>
      <c r="H25" s="171"/>
      <c r="I25" s="172"/>
    </row>
    <row r="26" spans="1:9" x14ac:dyDescent="0.3">
      <c r="A26" s="187" t="s">
        <v>22</v>
      </c>
      <c r="B26" s="189">
        <v>0.1</v>
      </c>
      <c r="C26" s="30" t="s">
        <v>39</v>
      </c>
      <c r="D26" s="84">
        <v>0.5</v>
      </c>
      <c r="E26" s="51">
        <f>D26*$B$26</f>
        <v>0.05</v>
      </c>
      <c r="F26" s="30" t="s">
        <v>79</v>
      </c>
      <c r="G26" s="33" t="s">
        <v>80</v>
      </c>
      <c r="H26" s="34" t="s">
        <v>8</v>
      </c>
      <c r="I26" s="35" t="s">
        <v>12</v>
      </c>
    </row>
    <row r="27" spans="1:9" ht="13.5" thickBot="1" x14ac:dyDescent="0.35">
      <c r="A27" s="188"/>
      <c r="B27" s="190"/>
      <c r="C27" s="37" t="s">
        <v>119</v>
      </c>
      <c r="D27" s="85">
        <v>0.5</v>
      </c>
      <c r="E27" s="52">
        <f>D27*$B$26</f>
        <v>0.05</v>
      </c>
      <c r="F27" s="37" t="s">
        <v>20</v>
      </c>
      <c r="G27" s="41" t="s">
        <v>21</v>
      </c>
      <c r="H27" s="41" t="s">
        <v>8</v>
      </c>
      <c r="I27" s="42" t="s">
        <v>11</v>
      </c>
    </row>
    <row r="28" spans="1:9" x14ac:dyDescent="0.3">
      <c r="G28" s="20"/>
    </row>
  </sheetData>
  <mergeCells count="10">
    <mergeCell ref="A2:A6"/>
    <mergeCell ref="B2:B6"/>
    <mergeCell ref="A26:A27"/>
    <mergeCell ref="B26:B27"/>
    <mergeCell ref="A22:A24"/>
    <mergeCell ref="B22:B24"/>
    <mergeCell ref="A16:A20"/>
    <mergeCell ref="B16:B20"/>
    <mergeCell ref="B8:B14"/>
    <mergeCell ref="A8:A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showGridLines="0" topLeftCell="A13" zoomScale="80" zoomScaleNormal="80" workbookViewId="0">
      <selection activeCell="A36" sqref="A36"/>
    </sheetView>
  </sheetViews>
  <sheetFormatPr defaultColWidth="9.1796875" defaultRowHeight="13" x14ac:dyDescent="0.3"/>
  <cols>
    <col min="1" max="1" width="28" style="2" bestFit="1" customWidth="1"/>
    <col min="2" max="2" width="10.7265625" style="2" bestFit="1" customWidth="1"/>
    <col min="3" max="3" width="54.453125" style="2" customWidth="1"/>
    <col min="4" max="4" width="11.81640625" style="2" customWidth="1"/>
    <col min="5" max="5" width="9.7265625" style="3" customWidth="1"/>
    <col min="6" max="6" width="39.54296875" style="2" customWidth="1"/>
    <col min="7" max="7" width="22.453125" style="5" bestFit="1" customWidth="1"/>
    <col min="8" max="9" width="16.1796875" style="2" customWidth="1"/>
    <col min="10" max="10" width="4.54296875" style="2" customWidth="1"/>
    <col min="11" max="251" width="16.1796875" style="2" customWidth="1"/>
    <col min="252" max="16384" width="9.1796875" style="2"/>
  </cols>
  <sheetData>
    <row r="1" spans="1:9" s="1" customFormat="1" ht="26.5" thickBot="1" x14ac:dyDescent="0.4">
      <c r="A1" s="11" t="s">
        <v>0</v>
      </c>
      <c r="B1" s="11" t="s">
        <v>1</v>
      </c>
      <c r="C1" s="11" t="s">
        <v>34</v>
      </c>
      <c r="D1" s="11" t="s">
        <v>98</v>
      </c>
      <c r="E1" s="11" t="s">
        <v>120</v>
      </c>
      <c r="F1" s="11" t="s">
        <v>3</v>
      </c>
      <c r="G1" s="11" t="s">
        <v>4</v>
      </c>
      <c r="H1" s="11" t="s">
        <v>5</v>
      </c>
      <c r="I1" s="11" t="s">
        <v>6</v>
      </c>
    </row>
    <row r="2" spans="1:9" ht="26" x14ac:dyDescent="0.3">
      <c r="A2" s="181" t="s">
        <v>31</v>
      </c>
      <c r="B2" s="191">
        <v>0.3</v>
      </c>
      <c r="C2" s="30" t="s">
        <v>202</v>
      </c>
      <c r="D2" s="51">
        <v>0.3</v>
      </c>
      <c r="E2" s="51">
        <f t="shared" ref="E2:E7" si="0">D2*$B$2</f>
        <v>0.09</v>
      </c>
      <c r="F2" s="30" t="s">
        <v>25</v>
      </c>
      <c r="G2" s="86">
        <v>0.98</v>
      </c>
      <c r="H2" s="34" t="s">
        <v>7</v>
      </c>
      <c r="I2" s="35" t="s">
        <v>12</v>
      </c>
    </row>
    <row r="3" spans="1:9" s="1" customFormat="1" ht="26" x14ac:dyDescent="0.35">
      <c r="A3" s="182"/>
      <c r="B3" s="192"/>
      <c r="C3" s="6" t="s">
        <v>43</v>
      </c>
      <c r="D3" s="7">
        <v>0.2</v>
      </c>
      <c r="E3" s="7">
        <f t="shared" si="0"/>
        <v>0.06</v>
      </c>
      <c r="F3" s="6" t="s">
        <v>56</v>
      </c>
      <c r="G3" s="26">
        <v>0.98</v>
      </c>
      <c r="H3" s="145" t="s">
        <v>7</v>
      </c>
      <c r="I3" s="36" t="s">
        <v>12</v>
      </c>
    </row>
    <row r="4" spans="1:9" x14ac:dyDescent="0.3">
      <c r="A4" s="182"/>
      <c r="B4" s="192"/>
      <c r="C4" s="6" t="s">
        <v>124</v>
      </c>
      <c r="D4" s="7">
        <v>0.2</v>
      </c>
      <c r="E4" s="7">
        <f t="shared" si="0"/>
        <v>0.06</v>
      </c>
      <c r="F4" s="28" t="s">
        <v>125</v>
      </c>
      <c r="G4" s="21" t="s">
        <v>69</v>
      </c>
      <c r="H4" s="145" t="s">
        <v>7</v>
      </c>
      <c r="I4" s="36" t="s">
        <v>10</v>
      </c>
    </row>
    <row r="5" spans="1:9" x14ac:dyDescent="0.3">
      <c r="A5" s="182"/>
      <c r="B5" s="192"/>
      <c r="C5" s="6" t="s">
        <v>82</v>
      </c>
      <c r="D5" s="7">
        <v>0.03</v>
      </c>
      <c r="E5" s="146">
        <f t="shared" si="0"/>
        <v>8.9999999999999993E-3</v>
      </c>
      <c r="F5" s="29" t="s">
        <v>57</v>
      </c>
      <c r="G5" s="26">
        <v>0.95</v>
      </c>
      <c r="H5" s="145" t="s">
        <v>7</v>
      </c>
      <c r="I5" s="36" t="s">
        <v>10</v>
      </c>
    </row>
    <row r="6" spans="1:9" ht="26" x14ac:dyDescent="0.3">
      <c r="A6" s="182"/>
      <c r="B6" s="192"/>
      <c r="C6" s="6" t="s">
        <v>237</v>
      </c>
      <c r="D6" s="7">
        <v>0.25</v>
      </c>
      <c r="E6" s="7">
        <f t="shared" si="0"/>
        <v>7.4999999999999997E-2</v>
      </c>
      <c r="F6" s="28" t="s">
        <v>247</v>
      </c>
      <c r="G6" s="21" t="s">
        <v>72</v>
      </c>
      <c r="H6" s="145" t="s">
        <v>238</v>
      </c>
      <c r="I6" s="36" t="s">
        <v>10</v>
      </c>
    </row>
    <row r="7" spans="1:9" ht="26.5" thickBot="1" x14ac:dyDescent="0.35">
      <c r="A7" s="183"/>
      <c r="B7" s="193"/>
      <c r="C7" s="37" t="s">
        <v>126</v>
      </c>
      <c r="D7" s="52">
        <v>0.02</v>
      </c>
      <c r="E7" s="147">
        <f t="shared" si="0"/>
        <v>6.0000000000000001E-3</v>
      </c>
      <c r="F7" s="87" t="s">
        <v>68</v>
      </c>
      <c r="G7" s="40">
        <v>0.95</v>
      </c>
      <c r="H7" s="41" t="s">
        <v>7</v>
      </c>
      <c r="I7" s="42" t="s">
        <v>12</v>
      </c>
    </row>
    <row r="8" spans="1:9" ht="13.5" thickBot="1" x14ac:dyDescent="0.35">
      <c r="A8" s="171"/>
      <c r="B8" s="156"/>
      <c r="C8" s="173"/>
      <c r="D8" s="173"/>
      <c r="E8" s="173"/>
      <c r="F8" s="169"/>
      <c r="G8" s="170"/>
      <c r="H8" s="171"/>
      <c r="I8" s="172"/>
    </row>
    <row r="9" spans="1:9" ht="26" x14ac:dyDescent="0.3">
      <c r="A9" s="194" t="s">
        <v>30</v>
      </c>
      <c r="B9" s="191">
        <v>0.3</v>
      </c>
      <c r="C9" s="30" t="s">
        <v>70</v>
      </c>
      <c r="D9" s="51">
        <v>0.25</v>
      </c>
      <c r="E9" s="51">
        <f t="shared" ref="E9:E15" si="1">D9*$B$9</f>
        <v>7.4999999999999997E-2</v>
      </c>
      <c r="F9" s="30" t="s">
        <v>26</v>
      </c>
      <c r="G9" s="33">
        <v>0.98</v>
      </c>
      <c r="H9" s="34" t="s">
        <v>7</v>
      </c>
      <c r="I9" s="35" t="s">
        <v>12</v>
      </c>
    </row>
    <row r="10" spans="1:9" ht="26" x14ac:dyDescent="0.3">
      <c r="A10" s="195"/>
      <c r="B10" s="192"/>
      <c r="C10" s="6" t="s">
        <v>231</v>
      </c>
      <c r="D10" s="7">
        <v>0.15</v>
      </c>
      <c r="E10" s="7">
        <f t="shared" si="1"/>
        <v>4.4999999999999998E-2</v>
      </c>
      <c r="F10" s="6" t="s">
        <v>203</v>
      </c>
      <c r="G10" s="21">
        <v>1</v>
      </c>
      <c r="H10" s="145" t="s">
        <v>7</v>
      </c>
      <c r="I10" s="36" t="s">
        <v>12</v>
      </c>
    </row>
    <row r="11" spans="1:9" ht="26" x14ac:dyDescent="0.3">
      <c r="A11" s="195"/>
      <c r="B11" s="192"/>
      <c r="C11" s="6" t="s">
        <v>128</v>
      </c>
      <c r="D11" s="7">
        <v>0.1</v>
      </c>
      <c r="E11" s="7">
        <f t="shared" si="1"/>
        <v>0.03</v>
      </c>
      <c r="F11" s="6" t="s">
        <v>129</v>
      </c>
      <c r="G11" s="21">
        <v>1</v>
      </c>
      <c r="H11" s="145" t="s">
        <v>7</v>
      </c>
      <c r="I11" s="36" t="s">
        <v>10</v>
      </c>
    </row>
    <row r="12" spans="1:9" x14ac:dyDescent="0.3">
      <c r="A12" s="195"/>
      <c r="B12" s="192"/>
      <c r="C12" s="6" t="s">
        <v>71</v>
      </c>
      <c r="D12" s="7">
        <v>0.1</v>
      </c>
      <c r="E12" s="7">
        <f t="shared" si="1"/>
        <v>0.03</v>
      </c>
      <c r="F12" s="6" t="s">
        <v>130</v>
      </c>
      <c r="G12" s="21">
        <v>1</v>
      </c>
      <c r="H12" s="145" t="s">
        <v>7</v>
      </c>
      <c r="I12" s="36" t="s">
        <v>10</v>
      </c>
    </row>
    <row r="13" spans="1:9" ht="26" x14ac:dyDescent="0.3">
      <c r="A13" s="195"/>
      <c r="B13" s="192"/>
      <c r="C13" s="6" t="s">
        <v>239</v>
      </c>
      <c r="D13" s="7">
        <v>0.15</v>
      </c>
      <c r="E13" s="7">
        <f t="shared" si="1"/>
        <v>4.4999999999999998E-2</v>
      </c>
      <c r="F13" s="6" t="s">
        <v>205</v>
      </c>
      <c r="G13" s="21">
        <v>1</v>
      </c>
      <c r="H13" s="145" t="s">
        <v>8</v>
      </c>
      <c r="I13" s="36" t="s">
        <v>12</v>
      </c>
    </row>
    <row r="14" spans="1:9" ht="26" x14ac:dyDescent="0.3">
      <c r="A14" s="195"/>
      <c r="B14" s="192"/>
      <c r="C14" s="6" t="s">
        <v>225</v>
      </c>
      <c r="D14" s="7">
        <v>0.15</v>
      </c>
      <c r="E14" s="7">
        <f t="shared" si="1"/>
        <v>4.4999999999999998E-2</v>
      </c>
      <c r="F14" s="6" t="s">
        <v>204</v>
      </c>
      <c r="G14" s="21" t="s">
        <v>80</v>
      </c>
      <c r="H14" s="145" t="s">
        <v>8</v>
      </c>
      <c r="I14" s="36" t="s">
        <v>12</v>
      </c>
    </row>
    <row r="15" spans="1:9" ht="26.5" thickBot="1" x14ac:dyDescent="0.35">
      <c r="A15" s="196"/>
      <c r="B15" s="193"/>
      <c r="C15" s="37" t="s">
        <v>73</v>
      </c>
      <c r="D15" s="52">
        <v>0.1</v>
      </c>
      <c r="E15" s="52">
        <f t="shared" si="1"/>
        <v>0.03</v>
      </c>
      <c r="F15" s="37" t="s">
        <v>74</v>
      </c>
      <c r="G15" s="40">
        <v>0.98</v>
      </c>
      <c r="H15" s="41" t="s">
        <v>7</v>
      </c>
      <c r="I15" s="42" t="s">
        <v>12</v>
      </c>
    </row>
    <row r="16" spans="1:9" ht="15" thickBot="1" x14ac:dyDescent="0.4">
      <c r="A16" s="171"/>
      <c r="B16" s="156"/>
      <c r="C16" s="175"/>
      <c r="D16" s="173"/>
      <c r="E16" s="173"/>
      <c r="F16" s="169"/>
      <c r="G16" s="170"/>
      <c r="H16" s="171"/>
      <c r="I16" s="172"/>
    </row>
    <row r="17" spans="1:9" ht="26" x14ac:dyDescent="0.3">
      <c r="A17" s="181" t="s">
        <v>49</v>
      </c>
      <c r="B17" s="191">
        <v>0.2</v>
      </c>
      <c r="C17" s="30" t="s">
        <v>76</v>
      </c>
      <c r="D17" s="31">
        <v>0.4</v>
      </c>
      <c r="E17" s="51">
        <f>D17*$B$17</f>
        <v>8.0000000000000016E-2</v>
      </c>
      <c r="F17" s="30" t="s">
        <v>75</v>
      </c>
      <c r="G17" s="33" t="s">
        <v>72</v>
      </c>
      <c r="H17" s="34" t="s">
        <v>7</v>
      </c>
      <c r="I17" s="35" t="s">
        <v>10</v>
      </c>
    </row>
    <row r="18" spans="1:9" x14ac:dyDescent="0.3">
      <c r="A18" s="182"/>
      <c r="B18" s="192"/>
      <c r="C18" s="6" t="s">
        <v>32</v>
      </c>
      <c r="D18" s="12">
        <v>0.3</v>
      </c>
      <c r="E18" s="7">
        <f>D18*$B$17</f>
        <v>0.06</v>
      </c>
      <c r="F18" s="22" t="s">
        <v>40</v>
      </c>
      <c r="G18" s="21" t="s">
        <v>16</v>
      </c>
      <c r="H18" s="145" t="s">
        <v>17</v>
      </c>
      <c r="I18" s="36" t="s">
        <v>10</v>
      </c>
    </row>
    <row r="19" spans="1:9" x14ac:dyDescent="0.3">
      <c r="A19" s="182"/>
      <c r="B19" s="192"/>
      <c r="C19" s="6" t="s">
        <v>36</v>
      </c>
      <c r="D19" s="12">
        <v>0.1</v>
      </c>
      <c r="E19" s="7">
        <f>D19*$B$17</f>
        <v>2.0000000000000004E-2</v>
      </c>
      <c r="F19" s="6" t="s">
        <v>65</v>
      </c>
      <c r="G19" s="21">
        <v>0.75</v>
      </c>
      <c r="H19" s="145" t="s">
        <v>17</v>
      </c>
      <c r="I19" s="36" t="s">
        <v>10</v>
      </c>
    </row>
    <row r="20" spans="1:9" x14ac:dyDescent="0.3">
      <c r="A20" s="182"/>
      <c r="B20" s="192"/>
      <c r="C20" s="6" t="s">
        <v>145</v>
      </c>
      <c r="D20" s="7">
        <v>0.1</v>
      </c>
      <c r="E20" s="7">
        <f>D20*$B$17</f>
        <v>2.0000000000000004E-2</v>
      </c>
      <c r="F20" s="6" t="s">
        <v>33</v>
      </c>
      <c r="G20" s="21"/>
      <c r="H20" s="145" t="s">
        <v>17</v>
      </c>
      <c r="I20" s="36" t="s">
        <v>18</v>
      </c>
    </row>
    <row r="21" spans="1:9" ht="13.5" thickBot="1" x14ac:dyDescent="0.35">
      <c r="A21" s="183"/>
      <c r="B21" s="193"/>
      <c r="C21" s="37" t="s">
        <v>41</v>
      </c>
      <c r="D21" s="52">
        <v>0.1</v>
      </c>
      <c r="E21" s="52">
        <f>D21*$B$17</f>
        <v>2.0000000000000004E-2</v>
      </c>
      <c r="F21" s="37" t="s">
        <v>77</v>
      </c>
      <c r="G21" s="40" t="s">
        <v>78</v>
      </c>
      <c r="H21" s="41" t="s">
        <v>7</v>
      </c>
      <c r="I21" s="42" t="s">
        <v>10</v>
      </c>
    </row>
    <row r="22" spans="1:9" ht="13.5" thickBot="1" x14ac:dyDescent="0.35">
      <c r="A22" s="171"/>
      <c r="B22" s="156"/>
      <c r="C22" s="179"/>
      <c r="D22" s="173"/>
      <c r="E22" s="173"/>
      <c r="F22" s="169"/>
      <c r="G22" s="170"/>
      <c r="H22" s="171"/>
      <c r="I22" s="172"/>
    </row>
    <row r="23" spans="1:9" ht="26" x14ac:dyDescent="0.3">
      <c r="A23" s="181" t="s">
        <v>13</v>
      </c>
      <c r="B23" s="191">
        <v>0.1</v>
      </c>
      <c r="C23" s="30" t="s">
        <v>123</v>
      </c>
      <c r="D23" s="51">
        <v>0.5</v>
      </c>
      <c r="E23" s="51">
        <f>D23*$B$23</f>
        <v>0.05</v>
      </c>
      <c r="F23" s="30" t="s">
        <v>28</v>
      </c>
      <c r="G23" s="33">
        <v>1</v>
      </c>
      <c r="H23" s="34" t="s">
        <v>7</v>
      </c>
      <c r="I23" s="35" t="s">
        <v>19</v>
      </c>
    </row>
    <row r="24" spans="1:9" x14ac:dyDescent="0.3">
      <c r="A24" s="182"/>
      <c r="B24" s="192"/>
      <c r="C24" s="6" t="s">
        <v>38</v>
      </c>
      <c r="D24" s="7">
        <v>0.25</v>
      </c>
      <c r="E24" s="7">
        <f>D24*$B$23</f>
        <v>2.5000000000000001E-2</v>
      </c>
      <c r="F24" s="6" t="s">
        <v>66</v>
      </c>
      <c r="G24" s="21" t="s">
        <v>27</v>
      </c>
      <c r="H24" s="145" t="s">
        <v>17</v>
      </c>
      <c r="I24" s="36" t="s">
        <v>10</v>
      </c>
    </row>
    <row r="25" spans="1:9" ht="13.5" thickBot="1" x14ac:dyDescent="0.35">
      <c r="A25" s="183"/>
      <c r="B25" s="193"/>
      <c r="C25" s="37" t="s">
        <v>118</v>
      </c>
      <c r="D25" s="52">
        <v>0.25</v>
      </c>
      <c r="E25" s="52">
        <f>D25*$B$23</f>
        <v>2.5000000000000001E-2</v>
      </c>
      <c r="F25" s="53" t="s">
        <v>14</v>
      </c>
      <c r="G25" s="40">
        <v>1</v>
      </c>
      <c r="H25" s="41" t="s">
        <v>17</v>
      </c>
      <c r="I25" s="42" t="s">
        <v>18</v>
      </c>
    </row>
    <row r="26" spans="1:9" ht="15" thickBot="1" x14ac:dyDescent="0.4">
      <c r="A26" s="171"/>
      <c r="B26" s="156"/>
      <c r="C26" s="175"/>
      <c r="D26" s="173"/>
      <c r="E26" s="173"/>
      <c r="F26" s="169"/>
      <c r="G26" s="170"/>
      <c r="H26" s="171"/>
      <c r="I26" s="172"/>
    </row>
    <row r="27" spans="1:9" ht="26" x14ac:dyDescent="0.3">
      <c r="A27" s="187" t="s">
        <v>22</v>
      </c>
      <c r="B27" s="189">
        <v>0.1</v>
      </c>
      <c r="C27" s="30" t="s">
        <v>42</v>
      </c>
      <c r="D27" s="51">
        <v>0.5</v>
      </c>
      <c r="E27" s="51">
        <f>D27*$B$27</f>
        <v>0.05</v>
      </c>
      <c r="F27" s="30" t="s">
        <v>79</v>
      </c>
      <c r="G27" s="33" t="s">
        <v>80</v>
      </c>
      <c r="H27" s="34" t="s">
        <v>8</v>
      </c>
      <c r="I27" s="35" t="s">
        <v>12</v>
      </c>
    </row>
    <row r="28" spans="1:9" ht="13.5" thickBot="1" x14ac:dyDescent="0.35">
      <c r="A28" s="188"/>
      <c r="B28" s="190"/>
      <c r="C28" s="37" t="s">
        <v>119</v>
      </c>
      <c r="D28" s="52">
        <v>0.5</v>
      </c>
      <c r="E28" s="52">
        <v>0.05</v>
      </c>
      <c r="F28" s="37" t="s">
        <v>20</v>
      </c>
      <c r="G28" s="41" t="s">
        <v>21</v>
      </c>
      <c r="H28" s="41" t="s">
        <v>8</v>
      </c>
      <c r="I28" s="42" t="s">
        <v>11</v>
      </c>
    </row>
  </sheetData>
  <mergeCells count="10">
    <mergeCell ref="A27:A28"/>
    <mergeCell ref="B27:B28"/>
    <mergeCell ref="B17:B21"/>
    <mergeCell ref="A17:A21"/>
    <mergeCell ref="B2:B7"/>
    <mergeCell ref="A2:A7"/>
    <mergeCell ref="B9:B15"/>
    <mergeCell ref="A9:A15"/>
    <mergeCell ref="A23:A25"/>
    <mergeCell ref="B23:B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"/>
  <sheetViews>
    <sheetView showGridLines="0" zoomScale="84" zoomScaleNormal="84" workbookViewId="0">
      <selection activeCell="C8" sqref="C8"/>
    </sheetView>
  </sheetViews>
  <sheetFormatPr defaultColWidth="9.1796875" defaultRowHeight="13" x14ac:dyDescent="0.3"/>
  <cols>
    <col min="1" max="1" width="20" style="2" bestFit="1" customWidth="1"/>
    <col min="2" max="2" width="9.453125" style="2" bestFit="1" customWidth="1"/>
    <col min="3" max="3" width="59.26953125" style="103" customWidth="1"/>
    <col min="4" max="4" width="10" style="2" customWidth="1"/>
    <col min="5" max="5" width="9.7265625" style="3" customWidth="1"/>
    <col min="6" max="6" width="53.26953125" style="2" customWidth="1"/>
    <col min="7" max="7" width="10.81640625" style="5" customWidth="1"/>
    <col min="8" max="8" width="12.54296875" style="2" customWidth="1"/>
    <col min="9" max="9" width="23.1796875" style="2" customWidth="1"/>
    <col min="10" max="254" width="16.1796875" style="2" customWidth="1"/>
    <col min="255" max="16384" width="9.1796875" style="2"/>
  </cols>
  <sheetData>
    <row r="1" spans="1:11" s="1" customFormat="1" ht="26.5" thickBot="1" x14ac:dyDescent="0.4">
      <c r="A1" s="11" t="s">
        <v>0</v>
      </c>
      <c r="B1" s="11" t="s">
        <v>1</v>
      </c>
      <c r="C1" s="11" t="s">
        <v>34</v>
      </c>
      <c r="D1" s="11" t="s">
        <v>98</v>
      </c>
      <c r="E1" s="11" t="s">
        <v>120</v>
      </c>
      <c r="F1" s="11" t="s">
        <v>3</v>
      </c>
      <c r="G1" s="11" t="s">
        <v>4</v>
      </c>
      <c r="H1" s="11" t="s">
        <v>5</v>
      </c>
      <c r="I1" s="11" t="s">
        <v>6</v>
      </c>
      <c r="J1" s="11"/>
      <c r="K1" s="11"/>
    </row>
    <row r="2" spans="1:11" x14ac:dyDescent="0.3">
      <c r="A2" s="181" t="s">
        <v>31</v>
      </c>
      <c r="B2" s="184">
        <v>0.2</v>
      </c>
      <c r="C2" s="100" t="s">
        <v>45</v>
      </c>
      <c r="D2" s="32">
        <v>0.3</v>
      </c>
      <c r="E2" s="51">
        <f t="shared" ref="E2:E8" si="0">D2*$B$2</f>
        <v>0.06</v>
      </c>
      <c r="F2" s="30" t="s">
        <v>222</v>
      </c>
      <c r="G2" s="33">
        <v>0.98</v>
      </c>
      <c r="H2" s="34" t="s">
        <v>7</v>
      </c>
      <c r="I2" s="35" t="s">
        <v>12</v>
      </c>
    </row>
    <row r="3" spans="1:11" ht="26" x14ac:dyDescent="0.3">
      <c r="A3" s="182"/>
      <c r="B3" s="185"/>
      <c r="C3" s="101" t="s">
        <v>256</v>
      </c>
      <c r="D3" s="22">
        <v>0.2</v>
      </c>
      <c r="E3" s="7">
        <f t="shared" si="0"/>
        <v>4.0000000000000008E-2</v>
      </c>
      <c r="F3" s="6" t="s">
        <v>255</v>
      </c>
      <c r="G3" s="21">
        <v>0.95</v>
      </c>
      <c r="H3" s="145" t="s">
        <v>7</v>
      </c>
      <c r="I3" s="36" t="s">
        <v>10</v>
      </c>
    </row>
    <row r="4" spans="1:11" s="1" customFormat="1" x14ac:dyDescent="0.35">
      <c r="A4" s="182"/>
      <c r="B4" s="185"/>
      <c r="C4" s="101" t="s">
        <v>243</v>
      </c>
      <c r="D4" s="22">
        <v>0.1</v>
      </c>
      <c r="E4" s="7">
        <f t="shared" si="0"/>
        <v>2.0000000000000004E-2</v>
      </c>
      <c r="F4" s="6" t="s">
        <v>81</v>
      </c>
      <c r="G4" s="21" t="s">
        <v>78</v>
      </c>
      <c r="H4" s="145" t="s">
        <v>8</v>
      </c>
      <c r="I4" s="36" t="s">
        <v>10</v>
      </c>
    </row>
    <row r="5" spans="1:11" x14ac:dyDescent="0.3">
      <c r="A5" s="182"/>
      <c r="B5" s="185"/>
      <c r="C5" s="148" t="s">
        <v>213</v>
      </c>
      <c r="D5" s="149">
        <v>0.05</v>
      </c>
      <c r="E5" s="150">
        <f t="shared" si="0"/>
        <v>1.0000000000000002E-2</v>
      </c>
      <c r="F5" s="13" t="s">
        <v>214</v>
      </c>
      <c r="G5" s="151">
        <v>1</v>
      </c>
      <c r="H5" s="143" t="s">
        <v>215</v>
      </c>
      <c r="I5" s="48" t="s">
        <v>206</v>
      </c>
    </row>
    <row r="6" spans="1:11" ht="26" x14ac:dyDescent="0.3">
      <c r="A6" s="182"/>
      <c r="B6" s="185"/>
      <c r="C6" s="152" t="s">
        <v>251</v>
      </c>
      <c r="D6" s="134">
        <v>0.1</v>
      </c>
      <c r="E6" s="135">
        <f t="shared" si="0"/>
        <v>2.0000000000000004E-2</v>
      </c>
      <c r="F6" s="127" t="s">
        <v>252</v>
      </c>
      <c r="G6" s="136">
        <v>0.95</v>
      </c>
      <c r="H6" s="137" t="s">
        <v>7</v>
      </c>
      <c r="I6" s="138" t="s">
        <v>12</v>
      </c>
    </row>
    <row r="7" spans="1:11" x14ac:dyDescent="0.3">
      <c r="A7" s="133"/>
      <c r="B7" s="185"/>
      <c r="C7" s="127" t="s">
        <v>133</v>
      </c>
      <c r="D7" s="134">
        <v>0.1</v>
      </c>
      <c r="E7" s="135">
        <f t="shared" si="0"/>
        <v>2.0000000000000004E-2</v>
      </c>
      <c r="F7" s="134" t="s">
        <v>221</v>
      </c>
      <c r="G7" s="136">
        <v>0.98</v>
      </c>
      <c r="H7" s="137" t="s">
        <v>17</v>
      </c>
      <c r="I7" s="138" t="s">
        <v>12</v>
      </c>
    </row>
    <row r="8" spans="1:11" ht="13.5" thickBot="1" x14ac:dyDescent="0.35">
      <c r="A8" s="25"/>
      <c r="B8" s="186"/>
      <c r="C8" s="128" t="s">
        <v>219</v>
      </c>
      <c r="D8" s="23">
        <v>0.15</v>
      </c>
      <c r="E8" s="14">
        <f t="shared" si="0"/>
        <v>0.03</v>
      </c>
      <c r="F8" s="129" t="s">
        <v>220</v>
      </c>
      <c r="G8" s="130">
        <v>1</v>
      </c>
      <c r="H8" s="144" t="s">
        <v>8</v>
      </c>
      <c r="I8" s="50" t="s">
        <v>10</v>
      </c>
    </row>
    <row r="9" spans="1:11" ht="13.5" thickBot="1" x14ac:dyDescent="0.35">
      <c r="A9" s="157"/>
      <c r="B9" s="158"/>
      <c r="C9" s="159"/>
      <c r="D9" s="160"/>
      <c r="E9" s="161"/>
      <c r="F9" s="162"/>
      <c r="G9" s="163"/>
      <c r="H9" s="164"/>
      <c r="I9" s="165"/>
    </row>
    <row r="10" spans="1:11" ht="26" x14ac:dyDescent="0.3">
      <c r="A10" s="197" t="s">
        <v>99</v>
      </c>
      <c r="B10" s="191">
        <v>0.3</v>
      </c>
      <c r="C10" s="100" t="s">
        <v>209</v>
      </c>
      <c r="D10" s="153">
        <v>0.15</v>
      </c>
      <c r="E10" s="51">
        <f t="shared" ref="E10:E17" si="1">D10*$B$10</f>
        <v>4.4999999999999998E-2</v>
      </c>
      <c r="F10" s="81" t="s">
        <v>131</v>
      </c>
      <c r="G10" s="33">
        <v>1</v>
      </c>
      <c r="H10" s="34" t="s">
        <v>7</v>
      </c>
      <c r="I10" s="35" t="s">
        <v>12</v>
      </c>
    </row>
    <row r="11" spans="1:11" x14ac:dyDescent="0.3">
      <c r="A11" s="198"/>
      <c r="B11" s="192"/>
      <c r="C11" s="101" t="s">
        <v>248</v>
      </c>
      <c r="D11" s="139">
        <v>0.2</v>
      </c>
      <c r="E11" s="7">
        <f t="shared" si="1"/>
        <v>0.06</v>
      </c>
      <c r="F11" s="13" t="s">
        <v>249</v>
      </c>
      <c r="G11" s="21">
        <v>1</v>
      </c>
      <c r="H11" s="143" t="s">
        <v>7</v>
      </c>
      <c r="I11" s="36" t="s">
        <v>10</v>
      </c>
    </row>
    <row r="12" spans="1:11" x14ac:dyDescent="0.3">
      <c r="A12" s="198"/>
      <c r="B12" s="192"/>
      <c r="C12" s="101" t="s">
        <v>207</v>
      </c>
      <c r="D12" s="140">
        <v>0.15</v>
      </c>
      <c r="E12" s="7">
        <f t="shared" si="1"/>
        <v>4.4999999999999998E-2</v>
      </c>
      <c r="F12" s="6" t="s">
        <v>208</v>
      </c>
      <c r="G12" s="21">
        <v>0.3</v>
      </c>
      <c r="H12" s="145" t="s">
        <v>7</v>
      </c>
      <c r="I12" s="36" t="s">
        <v>206</v>
      </c>
    </row>
    <row r="13" spans="1:11" x14ac:dyDescent="0.3">
      <c r="A13" s="198"/>
      <c r="B13" s="192"/>
      <c r="C13" s="6" t="s">
        <v>161</v>
      </c>
      <c r="D13" s="154">
        <v>0.1</v>
      </c>
      <c r="E13" s="7">
        <v>0.03</v>
      </c>
      <c r="F13" s="6" t="s">
        <v>160</v>
      </c>
      <c r="G13" s="145" t="s">
        <v>159</v>
      </c>
      <c r="H13" s="145" t="s">
        <v>8</v>
      </c>
      <c r="I13" s="142" t="s">
        <v>105</v>
      </c>
    </row>
    <row r="14" spans="1:11" ht="26" x14ac:dyDescent="0.3">
      <c r="A14" s="198"/>
      <c r="B14" s="192"/>
      <c r="C14" s="101" t="s">
        <v>128</v>
      </c>
      <c r="D14" s="140">
        <v>0.1</v>
      </c>
      <c r="E14" s="7">
        <f>D14*$B$10</f>
        <v>0.03</v>
      </c>
      <c r="F14" s="6" t="s">
        <v>129</v>
      </c>
      <c r="G14" s="21">
        <v>0.98</v>
      </c>
      <c r="H14" s="145" t="s">
        <v>7</v>
      </c>
      <c r="I14" s="36" t="s">
        <v>10</v>
      </c>
    </row>
    <row r="15" spans="1:11" ht="26" x14ac:dyDescent="0.3">
      <c r="A15" s="198"/>
      <c r="B15" s="192"/>
      <c r="C15" s="101" t="s">
        <v>226</v>
      </c>
      <c r="D15" s="140">
        <v>0.1</v>
      </c>
      <c r="E15" s="7">
        <f t="shared" si="1"/>
        <v>0.03</v>
      </c>
      <c r="F15" s="6" t="s">
        <v>227</v>
      </c>
      <c r="G15" s="21">
        <v>1</v>
      </c>
      <c r="H15" s="145" t="s">
        <v>7</v>
      </c>
      <c r="I15" s="36" t="s">
        <v>12</v>
      </c>
    </row>
    <row r="16" spans="1:11" ht="26" x14ac:dyDescent="0.3">
      <c r="A16" s="198"/>
      <c r="B16" s="192"/>
      <c r="C16" s="101" t="s">
        <v>216</v>
      </c>
      <c r="D16" s="140">
        <v>0.1</v>
      </c>
      <c r="E16" s="7">
        <f>D16*$B$10</f>
        <v>0.03</v>
      </c>
      <c r="F16" s="6" t="s">
        <v>254</v>
      </c>
      <c r="G16" s="21" t="s">
        <v>72</v>
      </c>
      <c r="H16" s="145" t="s">
        <v>8</v>
      </c>
      <c r="I16" s="36" t="s">
        <v>12</v>
      </c>
    </row>
    <row r="17" spans="1:9" ht="13.5" thickBot="1" x14ac:dyDescent="0.35">
      <c r="A17" s="199"/>
      <c r="B17" s="193"/>
      <c r="C17" s="102" t="s">
        <v>132</v>
      </c>
      <c r="D17" s="141">
        <v>0.1</v>
      </c>
      <c r="E17" s="52">
        <f t="shared" si="1"/>
        <v>0.03</v>
      </c>
      <c r="F17" s="37" t="s">
        <v>83</v>
      </c>
      <c r="G17" s="40">
        <v>0.98</v>
      </c>
      <c r="H17" s="41" t="s">
        <v>7</v>
      </c>
      <c r="I17" s="42" t="s">
        <v>10</v>
      </c>
    </row>
    <row r="18" spans="1:9" ht="13.5" thickBot="1" x14ac:dyDescent="0.35">
      <c r="A18" s="156"/>
      <c r="B18" s="158"/>
      <c r="C18" s="166"/>
      <c r="D18" s="167"/>
      <c r="E18" s="168"/>
      <c r="F18" s="169"/>
      <c r="G18" s="170"/>
      <c r="H18" s="171"/>
      <c r="I18" s="172"/>
    </row>
    <row r="19" spans="1:9" x14ac:dyDescent="0.3">
      <c r="A19" s="181" t="s">
        <v>48</v>
      </c>
      <c r="B19" s="191">
        <v>0.1</v>
      </c>
      <c r="C19" s="100" t="s">
        <v>93</v>
      </c>
      <c r="D19" s="82">
        <v>0.25</v>
      </c>
      <c r="E19" s="51">
        <f>D19*$B$19</f>
        <v>2.5000000000000001E-2</v>
      </c>
      <c r="F19" s="32" t="s">
        <v>47</v>
      </c>
      <c r="G19" s="33" t="s">
        <v>80</v>
      </c>
      <c r="H19" s="34" t="s">
        <v>7</v>
      </c>
      <c r="I19" s="35" t="s">
        <v>206</v>
      </c>
    </row>
    <row r="20" spans="1:9" x14ac:dyDescent="0.3">
      <c r="A20" s="182"/>
      <c r="B20" s="192"/>
      <c r="C20" s="101" t="s">
        <v>250</v>
      </c>
      <c r="D20" s="23">
        <v>0.25</v>
      </c>
      <c r="E20" s="7">
        <f>D20*$B$19</f>
        <v>2.5000000000000001E-2</v>
      </c>
      <c r="F20" s="6" t="s">
        <v>91</v>
      </c>
      <c r="G20" s="21" t="s">
        <v>72</v>
      </c>
      <c r="H20" s="145" t="s">
        <v>8</v>
      </c>
      <c r="I20" s="36" t="s">
        <v>206</v>
      </c>
    </row>
    <row r="21" spans="1:9" x14ac:dyDescent="0.3">
      <c r="A21" s="182"/>
      <c r="B21" s="192"/>
      <c r="C21" s="101" t="s">
        <v>240</v>
      </c>
      <c r="D21" s="23">
        <v>0.25</v>
      </c>
      <c r="E21" s="7">
        <f>D21*$B$19</f>
        <v>2.5000000000000001E-2</v>
      </c>
      <c r="F21" s="6" t="s">
        <v>65</v>
      </c>
      <c r="G21" s="21">
        <v>0.75</v>
      </c>
      <c r="H21" s="145" t="s">
        <v>17</v>
      </c>
      <c r="I21" s="36" t="s">
        <v>10</v>
      </c>
    </row>
    <row r="22" spans="1:9" x14ac:dyDescent="0.3">
      <c r="A22" s="182"/>
      <c r="B22" s="192"/>
      <c r="C22" s="101" t="s">
        <v>41</v>
      </c>
      <c r="D22" s="22">
        <v>0.15</v>
      </c>
      <c r="E22" s="7">
        <f>D22*$B$19</f>
        <v>1.4999999999999999E-2</v>
      </c>
      <c r="F22" s="6" t="s">
        <v>92</v>
      </c>
      <c r="G22" s="21" t="s">
        <v>78</v>
      </c>
      <c r="H22" s="145" t="s">
        <v>7</v>
      </c>
      <c r="I22" s="36" t="s">
        <v>10</v>
      </c>
    </row>
    <row r="23" spans="1:9" ht="13.5" thickBot="1" x14ac:dyDescent="0.35">
      <c r="A23" s="183"/>
      <c r="B23" s="193"/>
      <c r="C23" s="102" t="s">
        <v>241</v>
      </c>
      <c r="D23" s="39">
        <v>0.1</v>
      </c>
      <c r="E23" s="52">
        <f>D23*$B$19</f>
        <v>1.0000000000000002E-2</v>
      </c>
      <c r="F23" s="37" t="s">
        <v>253</v>
      </c>
      <c r="G23" s="40"/>
      <c r="H23" s="41" t="s">
        <v>17</v>
      </c>
      <c r="I23" s="42" t="s">
        <v>18</v>
      </c>
    </row>
    <row r="24" spans="1:9" ht="13.5" thickBot="1" x14ac:dyDescent="0.35">
      <c r="A24" s="171"/>
      <c r="B24" s="156"/>
      <c r="C24" s="166"/>
      <c r="D24" s="167"/>
      <c r="E24" s="173"/>
      <c r="F24" s="169"/>
      <c r="G24" s="170"/>
      <c r="H24" s="171"/>
      <c r="I24" s="172"/>
    </row>
    <row r="25" spans="1:9" x14ac:dyDescent="0.3">
      <c r="A25" s="181" t="s">
        <v>13</v>
      </c>
      <c r="B25" s="191">
        <v>0.1</v>
      </c>
      <c r="C25" s="30" t="s">
        <v>123</v>
      </c>
      <c r="D25" s="82">
        <v>0.25</v>
      </c>
      <c r="E25" s="51">
        <f>D25*$B$25</f>
        <v>2.5000000000000001E-2</v>
      </c>
      <c r="F25" s="30" t="s">
        <v>212</v>
      </c>
      <c r="G25" s="33">
        <v>1</v>
      </c>
      <c r="H25" s="34" t="s">
        <v>7</v>
      </c>
      <c r="I25" s="35" t="s">
        <v>19</v>
      </c>
    </row>
    <row r="26" spans="1:9" x14ac:dyDescent="0.3">
      <c r="A26" s="182"/>
      <c r="B26" s="192"/>
      <c r="C26" s="6" t="s">
        <v>210</v>
      </c>
      <c r="D26" s="23">
        <v>0.5</v>
      </c>
      <c r="E26" s="7">
        <f>D26*$B$25</f>
        <v>0.05</v>
      </c>
      <c r="F26" s="6" t="s">
        <v>211</v>
      </c>
      <c r="G26" s="21">
        <v>1</v>
      </c>
      <c r="H26" s="145" t="s">
        <v>17</v>
      </c>
      <c r="I26" s="36" t="s">
        <v>10</v>
      </c>
    </row>
    <row r="27" spans="1:9" ht="13.5" thickBot="1" x14ac:dyDescent="0.35">
      <c r="A27" s="183"/>
      <c r="B27" s="193"/>
      <c r="C27" s="37" t="s">
        <v>118</v>
      </c>
      <c r="D27" s="83">
        <v>0.25</v>
      </c>
      <c r="E27" s="52">
        <f>D27*$B$25</f>
        <v>2.5000000000000001E-2</v>
      </c>
      <c r="F27" s="53" t="s">
        <v>14</v>
      </c>
      <c r="G27" s="40">
        <v>1</v>
      </c>
      <c r="H27" s="41" t="s">
        <v>17</v>
      </c>
      <c r="I27" s="42" t="s">
        <v>18</v>
      </c>
    </row>
    <row r="28" spans="1:9" ht="15" thickBot="1" x14ac:dyDescent="0.4">
      <c r="A28" s="171"/>
      <c r="B28" s="156"/>
      <c r="C28" s="174"/>
      <c r="D28" s="175"/>
      <c r="E28" s="173"/>
      <c r="F28" s="169"/>
      <c r="G28" s="170"/>
      <c r="H28" s="171"/>
      <c r="I28" s="172"/>
    </row>
    <row r="29" spans="1:9" x14ac:dyDescent="0.3">
      <c r="A29" s="187" t="s">
        <v>22</v>
      </c>
      <c r="B29" s="189">
        <v>0.2</v>
      </c>
      <c r="C29" s="30" t="s">
        <v>42</v>
      </c>
      <c r="D29" s="84">
        <v>0.5</v>
      </c>
      <c r="E29" s="51">
        <f>D29*$B$29</f>
        <v>0.1</v>
      </c>
      <c r="F29" s="30" t="s">
        <v>79</v>
      </c>
      <c r="G29" s="33" t="s">
        <v>80</v>
      </c>
      <c r="H29" s="34" t="s">
        <v>8</v>
      </c>
      <c r="I29" s="35" t="s">
        <v>12</v>
      </c>
    </row>
    <row r="30" spans="1:9" ht="13.5" thickBot="1" x14ac:dyDescent="0.35">
      <c r="A30" s="188"/>
      <c r="B30" s="190"/>
      <c r="C30" s="37" t="s">
        <v>119</v>
      </c>
      <c r="D30" s="85">
        <v>0.5</v>
      </c>
      <c r="E30" s="52">
        <f>D30*$B$29</f>
        <v>0.1</v>
      </c>
      <c r="F30" s="37" t="s">
        <v>20</v>
      </c>
      <c r="G30" s="41" t="s">
        <v>21</v>
      </c>
      <c r="H30" s="41" t="s">
        <v>8</v>
      </c>
      <c r="I30" s="42" t="s">
        <v>11</v>
      </c>
    </row>
    <row r="31" spans="1:9" ht="13.5" thickBot="1" x14ac:dyDescent="0.35">
      <c r="A31" s="155"/>
      <c r="B31" s="155"/>
      <c r="C31" s="176"/>
      <c r="D31" s="155"/>
      <c r="E31" s="177"/>
      <c r="F31" s="155"/>
      <c r="G31" s="178"/>
      <c r="H31" s="155"/>
      <c r="I31" s="155"/>
    </row>
    <row r="32" spans="1:9" x14ac:dyDescent="0.3">
      <c r="A32" s="200" t="s">
        <v>149</v>
      </c>
      <c r="B32" s="202">
        <v>0.1</v>
      </c>
      <c r="C32" s="89" t="s">
        <v>242</v>
      </c>
      <c r="D32" s="90">
        <v>0.5</v>
      </c>
      <c r="E32" s="91">
        <f>D32*$B$29</f>
        <v>0.1</v>
      </c>
      <c r="F32" s="89" t="s">
        <v>152</v>
      </c>
      <c r="G32" s="92" t="s">
        <v>80</v>
      </c>
      <c r="H32" s="92" t="s">
        <v>8</v>
      </c>
      <c r="I32" s="93"/>
    </row>
    <row r="33" spans="1:9" ht="13.5" thickBot="1" x14ac:dyDescent="0.35">
      <c r="A33" s="201"/>
      <c r="B33" s="203"/>
      <c r="C33" s="94" t="s">
        <v>150</v>
      </c>
      <c r="D33" s="95">
        <v>0.5</v>
      </c>
      <c r="E33" s="96">
        <f>D33*$B$29</f>
        <v>0.1</v>
      </c>
      <c r="F33" s="94" t="s">
        <v>151</v>
      </c>
      <c r="G33" s="97" t="s">
        <v>80</v>
      </c>
      <c r="H33" s="97" t="s">
        <v>7</v>
      </c>
      <c r="I33" s="98"/>
    </row>
    <row r="35" spans="1:9" x14ac:dyDescent="0.3">
      <c r="C35" s="132"/>
    </row>
    <row r="36" spans="1:9" x14ac:dyDescent="0.3">
      <c r="C36" s="131"/>
    </row>
    <row r="37" spans="1:9" x14ac:dyDescent="0.3">
      <c r="C37" s="131"/>
    </row>
    <row r="38" spans="1:9" x14ac:dyDescent="0.3">
      <c r="C38" s="131"/>
    </row>
    <row r="39" spans="1:9" x14ac:dyDescent="0.3">
      <c r="C39" s="131"/>
    </row>
    <row r="40" spans="1:9" x14ac:dyDescent="0.3">
      <c r="C40" s="132"/>
    </row>
  </sheetData>
  <mergeCells count="12">
    <mergeCell ref="A32:A33"/>
    <mergeCell ref="B32:B33"/>
    <mergeCell ref="A25:A27"/>
    <mergeCell ref="B25:B27"/>
    <mergeCell ref="A29:A30"/>
    <mergeCell ref="B29:B30"/>
    <mergeCell ref="A2:A6"/>
    <mergeCell ref="A10:A17"/>
    <mergeCell ref="B10:B17"/>
    <mergeCell ref="B19:B23"/>
    <mergeCell ref="A19:A23"/>
    <mergeCell ref="B2:B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showGridLines="0" zoomScale="90" zoomScaleNormal="90" workbookViewId="0">
      <selection activeCell="C17" sqref="C17"/>
    </sheetView>
  </sheetViews>
  <sheetFormatPr defaultColWidth="9.1796875" defaultRowHeight="13" x14ac:dyDescent="0.3"/>
  <cols>
    <col min="1" max="1" width="22.453125" style="2" bestFit="1" customWidth="1"/>
    <col min="2" max="2" width="9.7265625" style="2" bestFit="1" customWidth="1"/>
    <col min="3" max="3" width="80.54296875" style="2" bestFit="1" customWidth="1"/>
    <col min="4" max="4" width="9.7265625" style="2" bestFit="1" customWidth="1"/>
    <col min="5" max="5" width="9.7265625" style="3" customWidth="1"/>
    <col min="6" max="6" width="81.81640625" style="2" bestFit="1" customWidth="1"/>
    <col min="7" max="7" width="6.1796875" style="5" bestFit="1" customWidth="1"/>
    <col min="8" max="8" width="17.453125" style="2" bestFit="1" customWidth="1"/>
    <col min="9" max="9" width="17.7265625" style="2" bestFit="1" customWidth="1"/>
    <col min="10" max="253" width="16.1796875" style="2" customWidth="1"/>
    <col min="254" max="16384" width="9.1796875" style="2"/>
  </cols>
  <sheetData>
    <row r="1" spans="1:9" s="1" customFormat="1" ht="26.5" thickBot="1" x14ac:dyDescent="0.4">
      <c r="A1" s="11" t="s">
        <v>0</v>
      </c>
      <c r="B1" s="11" t="s">
        <v>1</v>
      </c>
      <c r="C1" s="11" t="s">
        <v>34</v>
      </c>
      <c r="D1" s="11" t="s">
        <v>98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</row>
    <row r="2" spans="1:9" s="1" customFormat="1" ht="26" x14ac:dyDescent="0.35">
      <c r="A2" s="181" t="s">
        <v>31</v>
      </c>
      <c r="B2" s="204">
        <v>0.2</v>
      </c>
      <c r="C2" s="30" t="s">
        <v>133</v>
      </c>
      <c r="D2" s="31">
        <v>0.3</v>
      </c>
      <c r="E2" s="31">
        <f t="shared" ref="E2:E7" si="0">D2*$B$2</f>
        <v>0.06</v>
      </c>
      <c r="F2" s="32" t="s">
        <v>9</v>
      </c>
      <c r="G2" s="33">
        <v>0.98</v>
      </c>
      <c r="H2" s="34" t="s">
        <v>7</v>
      </c>
      <c r="I2" s="35" t="s">
        <v>12</v>
      </c>
    </row>
    <row r="3" spans="1:9" x14ac:dyDescent="0.3">
      <c r="A3" s="182"/>
      <c r="B3" s="205"/>
      <c r="C3" s="6" t="s">
        <v>84</v>
      </c>
      <c r="D3" s="12">
        <v>0.2</v>
      </c>
      <c r="E3" s="12">
        <f t="shared" si="0"/>
        <v>4.0000000000000008E-2</v>
      </c>
      <c r="F3" s="22" t="s">
        <v>144</v>
      </c>
      <c r="G3" s="21">
        <v>0.6</v>
      </c>
      <c r="H3" s="8" t="s">
        <v>17</v>
      </c>
      <c r="I3" s="36" t="s">
        <v>10</v>
      </c>
    </row>
    <row r="4" spans="1:9" ht="26" x14ac:dyDescent="0.3">
      <c r="A4" s="182"/>
      <c r="B4" s="205"/>
      <c r="C4" s="6" t="s">
        <v>51</v>
      </c>
      <c r="D4" s="12">
        <v>0.2</v>
      </c>
      <c r="E4" s="12">
        <f t="shared" si="0"/>
        <v>4.0000000000000008E-2</v>
      </c>
      <c r="F4" s="22" t="s">
        <v>117</v>
      </c>
      <c r="G4" s="21">
        <v>0.95</v>
      </c>
      <c r="H4" s="8" t="s">
        <v>7</v>
      </c>
      <c r="I4" s="36" t="s">
        <v>12</v>
      </c>
    </row>
    <row r="5" spans="1:9" ht="26" x14ac:dyDescent="0.3">
      <c r="A5" s="182"/>
      <c r="B5" s="205"/>
      <c r="C5" s="6" t="s">
        <v>134</v>
      </c>
      <c r="D5" s="12">
        <v>0.1</v>
      </c>
      <c r="E5" s="12">
        <f t="shared" si="0"/>
        <v>2.0000000000000004E-2</v>
      </c>
      <c r="F5" s="22" t="s">
        <v>29</v>
      </c>
      <c r="G5" s="21">
        <v>0</v>
      </c>
      <c r="H5" s="8" t="s">
        <v>7</v>
      </c>
      <c r="I5" s="36" t="s">
        <v>12</v>
      </c>
    </row>
    <row r="6" spans="1:9" ht="26" x14ac:dyDescent="0.3">
      <c r="A6" s="182"/>
      <c r="B6" s="205"/>
      <c r="C6" s="6" t="s">
        <v>86</v>
      </c>
      <c r="D6" s="12">
        <v>0.1</v>
      </c>
      <c r="E6" s="12">
        <f t="shared" si="0"/>
        <v>2.0000000000000004E-2</v>
      </c>
      <c r="F6" s="22" t="s">
        <v>87</v>
      </c>
      <c r="G6" s="21">
        <v>0.95</v>
      </c>
      <c r="H6" s="8" t="s">
        <v>7</v>
      </c>
      <c r="I6" s="36" t="s">
        <v>12</v>
      </c>
    </row>
    <row r="7" spans="1:9" ht="26.5" thickBot="1" x14ac:dyDescent="0.35">
      <c r="A7" s="183"/>
      <c r="B7" s="206"/>
      <c r="C7" s="37" t="s">
        <v>85</v>
      </c>
      <c r="D7" s="38">
        <v>0.1</v>
      </c>
      <c r="E7" s="38">
        <f t="shared" si="0"/>
        <v>2.0000000000000004E-2</v>
      </c>
      <c r="F7" s="39" t="s">
        <v>50</v>
      </c>
      <c r="G7" s="40">
        <v>0.9</v>
      </c>
      <c r="H7" s="41" t="s">
        <v>7</v>
      </c>
      <c r="I7" s="42" t="s">
        <v>12</v>
      </c>
    </row>
    <row r="8" spans="1:9" ht="13.5" thickBot="1" x14ac:dyDescent="0.35">
      <c r="A8" s="9"/>
      <c r="B8" s="10"/>
      <c r="C8" s="43"/>
      <c r="D8" s="44"/>
      <c r="E8" s="44"/>
      <c r="F8" s="45"/>
      <c r="G8" s="46"/>
      <c r="H8" s="18"/>
      <c r="I8" s="47"/>
    </row>
    <row r="9" spans="1:9" ht="26" x14ac:dyDescent="0.3">
      <c r="A9" s="181" t="s">
        <v>30</v>
      </c>
      <c r="B9" s="184">
        <v>0.2</v>
      </c>
      <c r="C9" s="30" t="s">
        <v>148</v>
      </c>
      <c r="D9" s="31">
        <v>0.3</v>
      </c>
      <c r="E9" s="31">
        <f t="shared" ref="E9:E15" si="1">D9*$B$9</f>
        <v>0.06</v>
      </c>
      <c r="F9" s="32" t="s">
        <v>53</v>
      </c>
      <c r="G9" s="33">
        <v>0.98</v>
      </c>
      <c r="H9" s="34" t="s">
        <v>7</v>
      </c>
      <c r="I9" s="35" t="s">
        <v>12</v>
      </c>
    </row>
    <row r="10" spans="1:9" ht="26" x14ac:dyDescent="0.3">
      <c r="A10" s="182"/>
      <c r="B10" s="185"/>
      <c r="C10" s="6" t="s">
        <v>127</v>
      </c>
      <c r="D10" s="16">
        <v>0.2</v>
      </c>
      <c r="E10" s="12">
        <f t="shared" si="1"/>
        <v>4.0000000000000008E-2</v>
      </c>
      <c r="F10" s="22" t="s">
        <v>135</v>
      </c>
      <c r="G10" s="21">
        <v>1</v>
      </c>
      <c r="H10" s="17" t="s">
        <v>7</v>
      </c>
      <c r="I10" s="48" t="s">
        <v>12</v>
      </c>
    </row>
    <row r="11" spans="1:9" x14ac:dyDescent="0.3">
      <c r="A11" s="182"/>
      <c r="B11" s="185"/>
      <c r="C11" s="6" t="s">
        <v>52</v>
      </c>
      <c r="D11" s="12">
        <v>0.1</v>
      </c>
      <c r="E11" s="12">
        <f t="shared" si="1"/>
        <v>2.0000000000000004E-2</v>
      </c>
      <c r="F11" s="22" t="s">
        <v>89</v>
      </c>
      <c r="G11" s="21" t="s">
        <v>88</v>
      </c>
      <c r="H11" s="8" t="s">
        <v>7</v>
      </c>
      <c r="I11" s="36" t="s">
        <v>10</v>
      </c>
    </row>
    <row r="12" spans="1:9" x14ac:dyDescent="0.3">
      <c r="A12" s="182"/>
      <c r="B12" s="185"/>
      <c r="C12" s="6" t="s">
        <v>128</v>
      </c>
      <c r="D12" s="7">
        <v>0.1</v>
      </c>
      <c r="E12" s="12">
        <f t="shared" si="1"/>
        <v>2.0000000000000004E-2</v>
      </c>
      <c r="F12" s="22" t="s">
        <v>129</v>
      </c>
      <c r="G12" s="21">
        <v>0.98</v>
      </c>
      <c r="H12" s="8" t="s">
        <v>7</v>
      </c>
      <c r="I12" s="36" t="s">
        <v>10</v>
      </c>
    </row>
    <row r="13" spans="1:9" ht="26" x14ac:dyDescent="0.3">
      <c r="A13" s="182"/>
      <c r="B13" s="185"/>
      <c r="C13" s="6" t="s">
        <v>147</v>
      </c>
      <c r="D13" s="7">
        <v>0.1</v>
      </c>
      <c r="E13" s="12">
        <f t="shared" si="1"/>
        <v>2.0000000000000004E-2</v>
      </c>
      <c r="F13" s="22" t="s">
        <v>46</v>
      </c>
      <c r="G13" s="21">
        <v>1</v>
      </c>
      <c r="H13" s="8" t="s">
        <v>7</v>
      </c>
      <c r="I13" s="36" t="s">
        <v>12</v>
      </c>
    </row>
    <row r="14" spans="1:9" ht="26" x14ac:dyDescent="0.3">
      <c r="A14" s="182"/>
      <c r="B14" s="185"/>
      <c r="C14" s="6" t="s">
        <v>90</v>
      </c>
      <c r="D14" s="12">
        <v>0.1</v>
      </c>
      <c r="E14" s="12">
        <f t="shared" si="1"/>
        <v>2.0000000000000004E-2</v>
      </c>
      <c r="F14" s="22" t="s">
        <v>136</v>
      </c>
      <c r="G14" s="21">
        <v>0.98</v>
      </c>
      <c r="H14" s="8" t="s">
        <v>7</v>
      </c>
      <c r="I14" s="36" t="s">
        <v>12</v>
      </c>
    </row>
    <row r="15" spans="1:9" ht="26.5" thickBot="1" x14ac:dyDescent="0.35">
      <c r="A15" s="183"/>
      <c r="B15" s="186"/>
      <c r="C15" s="37" t="s">
        <v>146</v>
      </c>
      <c r="D15" s="38">
        <v>0.1</v>
      </c>
      <c r="E15" s="38">
        <f t="shared" si="1"/>
        <v>2.0000000000000004E-2</v>
      </c>
      <c r="F15" s="39" t="s">
        <v>137</v>
      </c>
      <c r="G15" s="40" t="s">
        <v>80</v>
      </c>
      <c r="H15" s="41" t="s">
        <v>17</v>
      </c>
      <c r="I15" s="42" t="s">
        <v>12</v>
      </c>
    </row>
    <row r="16" spans="1:9" ht="13.5" thickBot="1" x14ac:dyDescent="0.35">
      <c r="A16" s="75"/>
      <c r="B16" s="76"/>
      <c r="C16" s="54"/>
      <c r="D16" s="77"/>
      <c r="E16" s="77"/>
      <c r="F16" s="78"/>
      <c r="G16" s="79"/>
      <c r="H16" s="27"/>
      <c r="I16" s="80"/>
    </row>
    <row r="17" spans="1:9" x14ac:dyDescent="0.3">
      <c r="A17" s="207" t="s">
        <v>101</v>
      </c>
      <c r="B17" s="210">
        <v>0.2</v>
      </c>
      <c r="C17" s="55" t="s">
        <v>102</v>
      </c>
      <c r="D17" s="56">
        <v>0.2</v>
      </c>
      <c r="E17" s="57">
        <f>D17*$B$17</f>
        <v>4.0000000000000008E-2</v>
      </c>
      <c r="F17" s="55" t="s">
        <v>103</v>
      </c>
      <c r="G17" s="58" t="s">
        <v>104</v>
      </c>
      <c r="H17" s="59" t="s">
        <v>8</v>
      </c>
      <c r="I17" s="60" t="s">
        <v>105</v>
      </c>
    </row>
    <row r="18" spans="1:9" x14ac:dyDescent="0.3">
      <c r="A18" s="208"/>
      <c r="B18" s="211"/>
      <c r="C18" s="61" t="s">
        <v>218</v>
      </c>
      <c r="D18" s="62">
        <v>0.4</v>
      </c>
      <c r="E18" s="63">
        <f>D18*$B$17</f>
        <v>8.0000000000000016E-2</v>
      </c>
      <c r="F18" s="6" t="s">
        <v>208</v>
      </c>
      <c r="G18" s="64">
        <v>0.3</v>
      </c>
      <c r="H18" s="65" t="s">
        <v>8</v>
      </c>
      <c r="I18" s="66" t="s">
        <v>11</v>
      </c>
    </row>
    <row r="19" spans="1:9" ht="13.5" thickBot="1" x14ac:dyDescent="0.35">
      <c r="A19" s="209"/>
      <c r="B19" s="212"/>
      <c r="C19" s="67" t="s">
        <v>106</v>
      </c>
      <c r="D19" s="68">
        <v>0.4</v>
      </c>
      <c r="E19" s="69">
        <f>D19*$B$17</f>
        <v>8.0000000000000016E-2</v>
      </c>
      <c r="F19" s="67" t="s">
        <v>107</v>
      </c>
      <c r="G19" s="70">
        <v>0.2</v>
      </c>
      <c r="H19" s="71" t="s">
        <v>108</v>
      </c>
      <c r="I19" s="72" t="s">
        <v>11</v>
      </c>
    </row>
    <row r="20" spans="1:9" ht="13.5" thickBot="1" x14ac:dyDescent="0.35">
      <c r="D20" s="3"/>
      <c r="E20" s="2"/>
      <c r="F20" s="4"/>
      <c r="G20" s="3"/>
      <c r="I20" s="5"/>
    </row>
    <row r="21" spans="1:9" x14ac:dyDescent="0.3">
      <c r="A21" s="213" t="s">
        <v>109</v>
      </c>
      <c r="B21" s="215">
        <v>0.1</v>
      </c>
      <c r="C21" s="55" t="s">
        <v>110</v>
      </c>
      <c r="D21" s="56">
        <v>0.5</v>
      </c>
      <c r="E21" s="57">
        <f>D21*$B$21</f>
        <v>0.05</v>
      </c>
      <c r="F21" s="73" t="s">
        <v>111</v>
      </c>
      <c r="G21" s="58" t="s">
        <v>112</v>
      </c>
      <c r="H21" s="59" t="s">
        <v>113</v>
      </c>
      <c r="I21" s="60" t="s">
        <v>10</v>
      </c>
    </row>
    <row r="22" spans="1:9" ht="13.5" thickBot="1" x14ac:dyDescent="0.35">
      <c r="A22" s="214"/>
      <c r="B22" s="216"/>
      <c r="C22" s="67" t="s">
        <v>114</v>
      </c>
      <c r="D22" s="68">
        <v>0.5</v>
      </c>
      <c r="E22" s="69">
        <f>D22*$B$21</f>
        <v>0.05</v>
      </c>
      <c r="F22" s="74" t="s">
        <v>115</v>
      </c>
      <c r="G22" s="70" t="s">
        <v>116</v>
      </c>
      <c r="H22" s="71" t="s">
        <v>113</v>
      </c>
      <c r="I22" s="72" t="s">
        <v>10</v>
      </c>
    </row>
    <row r="23" spans="1:9" s="15" customFormat="1" ht="15" thickBot="1" x14ac:dyDescent="0.4">
      <c r="A23" s="18"/>
      <c r="B23" s="19"/>
      <c r="C23"/>
      <c r="D23" s="49"/>
      <c r="E23" s="49"/>
      <c r="F23" s="45"/>
      <c r="G23" s="46"/>
      <c r="H23" s="18"/>
      <c r="I23" s="47"/>
    </row>
    <row r="24" spans="1:9" x14ac:dyDescent="0.3">
      <c r="A24" s="181" t="s">
        <v>48</v>
      </c>
      <c r="B24" s="191">
        <v>0.1</v>
      </c>
      <c r="C24" s="30" t="s">
        <v>95</v>
      </c>
      <c r="D24" s="31">
        <v>0.25</v>
      </c>
      <c r="E24" s="31">
        <f>D24*$B$24</f>
        <v>2.5000000000000001E-2</v>
      </c>
      <c r="F24" s="32" t="s">
        <v>94</v>
      </c>
      <c r="G24" s="33" t="s">
        <v>72</v>
      </c>
      <c r="H24" s="34" t="s">
        <v>7</v>
      </c>
      <c r="I24" s="35" t="s">
        <v>10</v>
      </c>
    </row>
    <row r="25" spans="1:9" x14ac:dyDescent="0.3">
      <c r="A25" s="182"/>
      <c r="B25" s="192"/>
      <c r="C25" s="6" t="s">
        <v>100</v>
      </c>
      <c r="D25" s="14">
        <v>0.25</v>
      </c>
      <c r="E25" s="12">
        <f>D25*$B$24</f>
        <v>2.5000000000000001E-2</v>
      </c>
      <c r="F25" s="22" t="s">
        <v>138</v>
      </c>
      <c r="G25" s="21" t="s">
        <v>72</v>
      </c>
      <c r="H25" s="8" t="s">
        <v>7</v>
      </c>
      <c r="I25" s="36" t="s">
        <v>10</v>
      </c>
    </row>
    <row r="26" spans="1:9" x14ac:dyDescent="0.3">
      <c r="A26" s="182"/>
      <c r="B26" s="192"/>
      <c r="C26" s="6" t="s">
        <v>93</v>
      </c>
      <c r="D26" s="14">
        <v>0.25</v>
      </c>
      <c r="E26" s="12">
        <f>D26*$B$24</f>
        <v>2.5000000000000001E-2</v>
      </c>
      <c r="F26" s="22" t="s">
        <v>47</v>
      </c>
      <c r="G26" s="21" t="s">
        <v>80</v>
      </c>
      <c r="H26" s="20" t="s">
        <v>7</v>
      </c>
      <c r="I26" s="50" t="s">
        <v>10</v>
      </c>
    </row>
    <row r="27" spans="1:9" x14ac:dyDescent="0.3">
      <c r="A27" s="182"/>
      <c r="B27" s="192"/>
      <c r="C27" s="6" t="s">
        <v>139</v>
      </c>
      <c r="D27" s="12">
        <v>0.15</v>
      </c>
      <c r="E27" s="12">
        <f>D27*$B$24</f>
        <v>1.4999999999999999E-2</v>
      </c>
      <c r="F27" s="22" t="s">
        <v>140</v>
      </c>
      <c r="G27" s="21">
        <v>0.2</v>
      </c>
      <c r="H27" s="8" t="s">
        <v>8</v>
      </c>
      <c r="I27" s="36" t="s">
        <v>10</v>
      </c>
    </row>
    <row r="28" spans="1:9" ht="13.5" thickBot="1" x14ac:dyDescent="0.35">
      <c r="A28" s="183"/>
      <c r="B28" s="193"/>
      <c r="C28" s="37" t="s">
        <v>36</v>
      </c>
      <c r="D28" s="38">
        <v>0.1</v>
      </c>
      <c r="E28" s="38">
        <f>D28*$B$24</f>
        <v>1.0000000000000002E-2</v>
      </c>
      <c r="F28" s="39" t="s">
        <v>65</v>
      </c>
      <c r="G28" s="40">
        <v>0.75</v>
      </c>
      <c r="H28" s="41" t="s">
        <v>17</v>
      </c>
      <c r="I28" s="42" t="s">
        <v>10</v>
      </c>
    </row>
    <row r="29" spans="1:9" ht="15" thickBot="1" x14ac:dyDescent="0.4">
      <c r="A29" s="18"/>
      <c r="B29" s="19"/>
      <c r="C29"/>
      <c r="D29" s="49"/>
      <c r="E29" s="49"/>
      <c r="F29" s="43"/>
      <c r="G29" s="46"/>
      <c r="H29" s="18"/>
      <c r="I29" s="47"/>
    </row>
    <row r="30" spans="1:9" ht="26" x14ac:dyDescent="0.3">
      <c r="A30" s="181" t="s">
        <v>13</v>
      </c>
      <c r="B30" s="184">
        <v>0.1</v>
      </c>
      <c r="C30" s="30" t="s">
        <v>141</v>
      </c>
      <c r="D30" s="31">
        <v>0.25</v>
      </c>
      <c r="E30" s="51">
        <f>D30*$B$30</f>
        <v>2.5000000000000001E-2</v>
      </c>
      <c r="F30" s="126" t="s">
        <v>217</v>
      </c>
      <c r="G30" s="33">
        <v>1</v>
      </c>
      <c r="H30" s="34" t="s">
        <v>7</v>
      </c>
      <c r="I30" s="35" t="s">
        <v>19</v>
      </c>
    </row>
    <row r="31" spans="1:9" x14ac:dyDescent="0.3">
      <c r="A31" s="182"/>
      <c r="B31" s="185"/>
      <c r="C31" s="6" t="s">
        <v>96</v>
      </c>
      <c r="D31" s="12">
        <v>0.25</v>
      </c>
      <c r="E31" s="7">
        <f>D31*$B$30</f>
        <v>2.5000000000000001E-2</v>
      </c>
      <c r="F31" s="6" t="s">
        <v>142</v>
      </c>
      <c r="G31" s="21">
        <v>1</v>
      </c>
      <c r="H31" s="8" t="s">
        <v>17</v>
      </c>
      <c r="I31" s="36" t="s">
        <v>10</v>
      </c>
    </row>
    <row r="32" spans="1:9" x14ac:dyDescent="0.3">
      <c r="A32" s="182"/>
      <c r="B32" s="185"/>
      <c r="C32" s="6" t="s">
        <v>54</v>
      </c>
      <c r="D32" s="12">
        <v>0.25</v>
      </c>
      <c r="E32" s="7">
        <f>D32*$B$30</f>
        <v>2.5000000000000001E-2</v>
      </c>
      <c r="F32" s="6" t="s">
        <v>97</v>
      </c>
      <c r="G32" s="21">
        <v>1</v>
      </c>
      <c r="H32" s="8" t="s">
        <v>17</v>
      </c>
      <c r="I32" s="36" t="s">
        <v>10</v>
      </c>
    </row>
    <row r="33" spans="1:9" ht="13.5" thickBot="1" x14ac:dyDescent="0.35">
      <c r="A33" s="183"/>
      <c r="B33" s="186"/>
      <c r="C33" s="37" t="s">
        <v>143</v>
      </c>
      <c r="D33" s="38">
        <v>0.25</v>
      </c>
      <c r="E33" s="52">
        <f>D33*$B$30</f>
        <v>2.5000000000000001E-2</v>
      </c>
      <c r="F33" s="53" t="s">
        <v>14</v>
      </c>
      <c r="G33" s="40">
        <v>1</v>
      </c>
      <c r="H33" s="41" t="s">
        <v>17</v>
      </c>
      <c r="I33" s="42" t="s">
        <v>18</v>
      </c>
    </row>
    <row r="34" spans="1:9" ht="15" thickBot="1" x14ac:dyDescent="0.4">
      <c r="A34" s="18"/>
      <c r="B34" s="19"/>
      <c r="C34"/>
      <c r="D34" s="49"/>
      <c r="E34" s="49"/>
      <c r="F34" s="43"/>
      <c r="G34" s="46"/>
      <c r="H34" s="18"/>
      <c r="I34" s="47"/>
    </row>
    <row r="35" spans="1:9" ht="26" x14ac:dyDescent="0.3">
      <c r="A35" s="187" t="s">
        <v>22</v>
      </c>
      <c r="B35" s="189">
        <v>0.1</v>
      </c>
      <c r="C35" s="30" t="s">
        <v>55</v>
      </c>
      <c r="D35" s="51">
        <v>0.5</v>
      </c>
      <c r="E35" s="51">
        <f>D35*$B$35</f>
        <v>0.05</v>
      </c>
      <c r="F35" s="30" t="s">
        <v>24</v>
      </c>
      <c r="G35" s="33" t="s">
        <v>23</v>
      </c>
      <c r="H35" s="34" t="s">
        <v>8</v>
      </c>
      <c r="I35" s="35" t="s">
        <v>12</v>
      </c>
    </row>
    <row r="36" spans="1:9" ht="13.5" thickBot="1" x14ac:dyDescent="0.35">
      <c r="A36" s="188"/>
      <c r="B36" s="190"/>
      <c r="C36" s="37" t="s">
        <v>119</v>
      </c>
      <c r="D36" s="52">
        <v>0.5</v>
      </c>
      <c r="E36" s="52">
        <f>D36*$B$35</f>
        <v>0.05</v>
      </c>
      <c r="F36" s="37" t="s">
        <v>20</v>
      </c>
      <c r="G36" s="41" t="s">
        <v>21</v>
      </c>
      <c r="H36" s="41" t="s">
        <v>8</v>
      </c>
      <c r="I36" s="42" t="s">
        <v>11</v>
      </c>
    </row>
    <row r="37" spans="1:9" x14ac:dyDescent="0.3">
      <c r="A37" s="18"/>
      <c r="B37" s="19"/>
      <c r="C37" s="43"/>
      <c r="D37" s="49"/>
      <c r="E37" s="49"/>
      <c r="F37" s="43"/>
      <c r="G37" s="46"/>
      <c r="H37" s="18"/>
      <c r="I37" s="47"/>
    </row>
    <row r="38" spans="1:9" x14ac:dyDescent="0.3">
      <c r="C38" s="99" t="s">
        <v>153</v>
      </c>
    </row>
    <row r="39" spans="1:9" x14ac:dyDescent="0.3">
      <c r="C39" s="99" t="s">
        <v>154</v>
      </c>
    </row>
    <row r="40" spans="1:9" x14ac:dyDescent="0.3">
      <c r="C40" s="99" t="s">
        <v>155</v>
      </c>
    </row>
    <row r="41" spans="1:9" x14ac:dyDescent="0.3">
      <c r="C41" s="99" t="s">
        <v>156</v>
      </c>
    </row>
    <row r="42" spans="1:9" x14ac:dyDescent="0.3">
      <c r="C42" s="99" t="s">
        <v>157</v>
      </c>
    </row>
    <row r="43" spans="1:9" x14ac:dyDescent="0.3">
      <c r="C43" s="99" t="s">
        <v>158</v>
      </c>
    </row>
  </sheetData>
  <mergeCells count="14">
    <mergeCell ref="A35:A36"/>
    <mergeCell ref="B35:B36"/>
    <mergeCell ref="B2:B7"/>
    <mergeCell ref="A2:A7"/>
    <mergeCell ref="A24:A28"/>
    <mergeCell ref="B24:B28"/>
    <mergeCell ref="A30:A33"/>
    <mergeCell ref="B30:B33"/>
    <mergeCell ref="A17:A19"/>
    <mergeCell ref="B17:B19"/>
    <mergeCell ref="A21:A22"/>
    <mergeCell ref="B21:B22"/>
    <mergeCell ref="A9:A15"/>
    <mergeCell ref="B9:B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showGridLines="0" workbookViewId="0">
      <selection activeCell="B4" sqref="B4"/>
    </sheetView>
  </sheetViews>
  <sheetFormatPr defaultColWidth="9.1796875" defaultRowHeight="12.5" x14ac:dyDescent="0.25"/>
  <cols>
    <col min="1" max="1" width="31.81640625" style="104" customWidth="1"/>
    <col min="2" max="2" width="89.1796875" style="106" customWidth="1"/>
    <col min="3" max="3" width="13.453125" style="104" customWidth="1"/>
    <col min="4" max="4" width="26.54296875" style="105" customWidth="1"/>
    <col min="5" max="16384" width="9.1796875" style="104"/>
  </cols>
  <sheetData>
    <row r="1" spans="1:4" x14ac:dyDescent="0.25">
      <c r="A1" s="229" t="s">
        <v>199</v>
      </c>
      <c r="B1" s="231" t="s">
        <v>198</v>
      </c>
      <c r="C1" s="233" t="s">
        <v>197</v>
      </c>
      <c r="D1" s="235" t="s">
        <v>196</v>
      </c>
    </row>
    <row r="2" spans="1:4" ht="13" thickBot="1" x14ac:dyDescent="0.3">
      <c r="A2" s="230"/>
      <c r="B2" s="232"/>
      <c r="C2" s="234"/>
      <c r="D2" s="236"/>
    </row>
    <row r="3" spans="1:4" ht="14.5" thickBot="1" x14ac:dyDescent="0.3">
      <c r="A3" s="219" t="s">
        <v>195</v>
      </c>
      <c r="B3" s="237"/>
      <c r="C3" s="125"/>
      <c r="D3" s="124"/>
    </row>
    <row r="4" spans="1:4" ht="108.5" thickBot="1" x14ac:dyDescent="0.3">
      <c r="A4" s="123" t="s">
        <v>194</v>
      </c>
      <c r="B4" s="115" t="s">
        <v>193</v>
      </c>
      <c r="C4" s="108">
        <v>0.2</v>
      </c>
      <c r="D4" s="217" t="s">
        <v>192</v>
      </c>
    </row>
    <row r="5" spans="1:4" ht="38" thickBot="1" x14ac:dyDescent="0.3">
      <c r="A5" s="122" t="s">
        <v>191</v>
      </c>
      <c r="B5" s="121" t="s">
        <v>190</v>
      </c>
      <c r="C5" s="113">
        <v>0.15</v>
      </c>
      <c r="D5" s="218"/>
    </row>
    <row r="6" spans="1:4" ht="58.5" thickBot="1" x14ac:dyDescent="0.4">
      <c r="A6" s="222" t="s">
        <v>13</v>
      </c>
      <c r="B6" s="120" t="s">
        <v>189</v>
      </c>
      <c r="C6" s="108">
        <v>0.05</v>
      </c>
      <c r="D6" s="111" t="s">
        <v>188</v>
      </c>
    </row>
    <row r="7" spans="1:4" ht="58.5" thickBot="1" x14ac:dyDescent="0.4">
      <c r="A7" s="223"/>
      <c r="B7" s="120" t="s">
        <v>187</v>
      </c>
      <c r="C7" s="108">
        <v>0.05</v>
      </c>
      <c r="D7" s="111" t="s">
        <v>186</v>
      </c>
    </row>
    <row r="8" spans="1:4" ht="87.5" thickBot="1" x14ac:dyDescent="0.4">
      <c r="A8" s="228"/>
      <c r="B8" s="120" t="s">
        <v>185</v>
      </c>
      <c r="C8" s="108">
        <v>0.05</v>
      </c>
      <c r="D8" s="107" t="s">
        <v>184</v>
      </c>
    </row>
    <row r="9" spans="1:4" ht="14.5" thickBot="1" x14ac:dyDescent="0.3">
      <c r="A9" s="219" t="s">
        <v>183</v>
      </c>
      <c r="B9" s="220"/>
      <c r="C9" s="119"/>
      <c r="D9" s="118"/>
    </row>
    <row r="10" spans="1:4" ht="13" thickBot="1" x14ac:dyDescent="0.3">
      <c r="A10" s="222" t="s">
        <v>182</v>
      </c>
      <c r="B10" s="117" t="s">
        <v>181</v>
      </c>
      <c r="C10" s="108">
        <v>0.05</v>
      </c>
      <c r="D10" s="221"/>
    </row>
    <row r="11" spans="1:4" ht="13" thickBot="1" x14ac:dyDescent="0.3">
      <c r="A11" s="223"/>
      <c r="B11" s="117" t="s">
        <v>180</v>
      </c>
      <c r="C11" s="108">
        <v>0.05</v>
      </c>
      <c r="D11" s="221"/>
    </row>
    <row r="12" spans="1:4" ht="13" thickBot="1" x14ac:dyDescent="0.3">
      <c r="A12" s="228"/>
      <c r="B12" s="116" t="s">
        <v>179</v>
      </c>
      <c r="C12" s="113">
        <v>0.05</v>
      </c>
      <c r="D12" s="218"/>
    </row>
    <row r="13" spans="1:4" ht="13" thickBot="1" x14ac:dyDescent="0.3">
      <c r="A13" s="222" t="s">
        <v>178</v>
      </c>
      <c r="B13" s="109" t="s">
        <v>177</v>
      </c>
      <c r="C13" s="226">
        <v>0.05</v>
      </c>
      <c r="D13" s="111"/>
    </row>
    <row r="14" spans="1:4" ht="13" thickBot="1" x14ac:dyDescent="0.3">
      <c r="A14" s="223"/>
      <c r="B14" s="109" t="s">
        <v>176</v>
      </c>
      <c r="C14" s="227"/>
      <c r="D14" s="111"/>
    </row>
    <row r="15" spans="1:4" ht="14.5" thickBot="1" x14ac:dyDescent="0.3">
      <c r="A15" s="219" t="s">
        <v>175</v>
      </c>
      <c r="B15" s="220"/>
      <c r="C15" s="112"/>
      <c r="D15" s="217" t="s">
        <v>174</v>
      </c>
    </row>
    <row r="16" spans="1:4" ht="13" thickBot="1" x14ac:dyDescent="0.3">
      <c r="A16" s="222" t="s">
        <v>173</v>
      </c>
      <c r="B16" s="115" t="s">
        <v>172</v>
      </c>
      <c r="C16" s="108">
        <v>0.1</v>
      </c>
      <c r="D16" s="221"/>
    </row>
    <row r="17" spans="1:4" ht="38" thickBot="1" x14ac:dyDescent="0.3">
      <c r="A17" s="223"/>
      <c r="B17" s="114" t="s">
        <v>171</v>
      </c>
      <c r="C17" s="113">
        <v>0.05</v>
      </c>
      <c r="D17" s="221"/>
    </row>
    <row r="18" spans="1:4" ht="44" thickBot="1" x14ac:dyDescent="0.3">
      <c r="A18" s="224" t="s">
        <v>170</v>
      </c>
      <c r="B18" s="109" t="s">
        <v>169</v>
      </c>
      <c r="C18" s="108">
        <v>0.05</v>
      </c>
      <c r="D18" s="107" t="s">
        <v>168</v>
      </c>
    </row>
    <row r="19" spans="1:4" ht="29.5" thickBot="1" x14ac:dyDescent="0.3">
      <c r="A19" s="225"/>
      <c r="B19" s="109" t="s">
        <v>167</v>
      </c>
      <c r="C19" s="108">
        <v>0.05</v>
      </c>
      <c r="D19" s="107" t="s">
        <v>166</v>
      </c>
    </row>
    <row r="20" spans="1:4" ht="14.5" thickBot="1" x14ac:dyDescent="0.3">
      <c r="A20" s="219" t="s">
        <v>165</v>
      </c>
      <c r="B20" s="220"/>
      <c r="C20" s="112"/>
      <c r="D20" s="111"/>
    </row>
    <row r="21" spans="1:4" ht="25.5" thickBot="1" x14ac:dyDescent="0.3">
      <c r="A21" s="110" t="s">
        <v>164</v>
      </c>
      <c r="B21" s="109" t="s">
        <v>163</v>
      </c>
      <c r="C21" s="108">
        <v>0.05</v>
      </c>
      <c r="D21" s="107" t="s">
        <v>162</v>
      </c>
    </row>
  </sheetData>
  <mergeCells count="17">
    <mergeCell ref="A1:A2"/>
    <mergeCell ref="B1:B2"/>
    <mergeCell ref="C1:C2"/>
    <mergeCell ref="D1:D2"/>
    <mergeCell ref="A3:B3"/>
    <mergeCell ref="D4:D5"/>
    <mergeCell ref="A20:B20"/>
    <mergeCell ref="A15:B15"/>
    <mergeCell ref="D10:D12"/>
    <mergeCell ref="D15:D17"/>
    <mergeCell ref="A16:A17"/>
    <mergeCell ref="A18:A19"/>
    <mergeCell ref="A9:B9"/>
    <mergeCell ref="C13:C14"/>
    <mergeCell ref="A13:A14"/>
    <mergeCell ref="A10:A12"/>
    <mergeCell ref="A6:A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Band A</vt:lpstr>
      <vt:lpstr>Band B</vt:lpstr>
      <vt:lpstr>Band C1</vt:lpstr>
      <vt:lpstr>SC Team lead</vt:lpstr>
      <vt:lpstr>Architect M level</vt:lpstr>
    </vt:vector>
  </TitlesOfParts>
  <Company>Capgemini India Private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savasu</dc:creator>
  <cp:lastModifiedBy>Shinde, Abhijit</cp:lastModifiedBy>
  <cp:lastPrinted>2013-01-29T05:22:11Z</cp:lastPrinted>
  <dcterms:created xsi:type="dcterms:W3CDTF">2012-04-10T08:08:16Z</dcterms:created>
  <dcterms:modified xsi:type="dcterms:W3CDTF">2021-06-15T07:29:26Z</dcterms:modified>
</cp:coreProperties>
</file>